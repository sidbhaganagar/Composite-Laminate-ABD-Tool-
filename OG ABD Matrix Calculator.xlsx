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frim\Documents\Composites\"/>
    </mc:Choice>
  </mc:AlternateContent>
  <xr:revisionPtr revIDLastSave="0" documentId="13_ncr:1_{EB1977DE-1A36-4155-838D-F208A918D100}" xr6:coauthVersionLast="47" xr6:coauthVersionMax="47" xr10:uidLastSave="{00000000-0000-0000-0000-000000000000}"/>
  <bookViews>
    <workbookView xWindow="-108" yWindow="-108" windowWidth="23256" windowHeight="12576" tabRatio="729" activeTab="3" xr2:uid="{0845BD06-4377-4987-817B-FCBB3824CCE9}"/>
  </bookViews>
  <sheets>
    <sheet name="Original" sheetId="1" r:id="rId1"/>
    <sheet name="2 layer" sheetId="6" r:id="rId2"/>
    <sheet name="3 Layer" sheetId="7" r:id="rId3"/>
    <sheet name="4 layer" sheetId="4" r:id="rId4"/>
    <sheet name="5 layer" sheetId="5" r:id="rId5"/>
    <sheet name="Q-Qb-ABD" sheetId="2" r:id="rId6"/>
    <sheet name="Qb-ABD (stiffner)" sheetId="8" r:id="rId7"/>
    <sheet name="Qb(x3) -&gt; ABD" sheetId="9" r:id="rId8"/>
    <sheet name="Qb(x2)-&gt;ABD" sheetId="11" r:id="rId9"/>
    <sheet name="Q-Qb(for degree change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9" l="1"/>
  <c r="H9" i="9"/>
  <c r="H10" i="11"/>
  <c r="H9" i="11"/>
  <c r="H8" i="11"/>
  <c r="G10" i="11"/>
  <c r="G9" i="11"/>
  <c r="G8" i="11"/>
  <c r="F10" i="11"/>
  <c r="F9" i="11"/>
  <c r="F8" i="11"/>
  <c r="G5" i="11"/>
  <c r="C9" i="11" s="1"/>
  <c r="H5" i="11"/>
  <c r="D9" i="11" s="1"/>
  <c r="H6" i="11"/>
  <c r="D10" i="11" s="1"/>
  <c r="H4" i="11"/>
  <c r="G6" i="11"/>
  <c r="C10" i="11" s="1"/>
  <c r="G4" i="11"/>
  <c r="C8" i="11" s="1"/>
  <c r="F6" i="11"/>
  <c r="B10" i="11" s="1"/>
  <c r="F5" i="11"/>
  <c r="B9" i="11" s="1"/>
  <c r="F4" i="11"/>
  <c r="B8" i="11" s="1"/>
  <c r="D6" i="11"/>
  <c r="D5" i="11"/>
  <c r="D4" i="11"/>
  <c r="C6" i="11"/>
  <c r="C5" i="11"/>
  <c r="C4" i="11"/>
  <c r="B6" i="11"/>
  <c r="B5" i="11"/>
  <c r="B4" i="11"/>
  <c r="J4" i="11"/>
  <c r="H19" i="10"/>
  <c r="R5" i="10"/>
  <c r="I25" i="10" s="1"/>
  <c r="R4" i="10"/>
  <c r="H18" i="10" s="1"/>
  <c r="J4" i="9"/>
  <c r="B4" i="8"/>
  <c r="L18" i="8" s="1" a="1"/>
  <c r="C4" i="8"/>
  <c r="D4" i="8"/>
  <c r="F4" i="8"/>
  <c r="G4" i="8"/>
  <c r="C8" i="8" s="1"/>
  <c r="H4" i="8"/>
  <c r="J4" i="8"/>
  <c r="B5" i="8"/>
  <c r="C5" i="8"/>
  <c r="D5" i="8"/>
  <c r="F5" i="8"/>
  <c r="B9" i="8" s="1"/>
  <c r="G5" i="8"/>
  <c r="H5" i="8"/>
  <c r="D9" i="8" s="1"/>
  <c r="B6" i="8"/>
  <c r="C6" i="8"/>
  <c r="D6" i="8"/>
  <c r="F6" i="8"/>
  <c r="B10" i="8" s="1"/>
  <c r="G6" i="8"/>
  <c r="C10" i="8" s="1"/>
  <c r="H6" i="8"/>
  <c r="D10" i="8" s="1"/>
  <c r="B8" i="8"/>
  <c r="D8" i="8"/>
  <c r="F8" i="8"/>
  <c r="P23" i="8" s="1" a="1"/>
  <c r="G8" i="8"/>
  <c r="H8" i="8"/>
  <c r="C9" i="8"/>
  <c r="F9" i="8"/>
  <c r="G9" i="8"/>
  <c r="H9" i="8"/>
  <c r="F10" i="8"/>
  <c r="G10" i="8"/>
  <c r="H10" i="8"/>
  <c r="H10" i="7"/>
  <c r="H8" i="7"/>
  <c r="G10" i="7"/>
  <c r="G9" i="7"/>
  <c r="G8" i="7"/>
  <c r="F10" i="7"/>
  <c r="F9" i="7"/>
  <c r="F8" i="7"/>
  <c r="D10" i="7"/>
  <c r="D9" i="7"/>
  <c r="D8" i="7"/>
  <c r="C10" i="7"/>
  <c r="C9" i="7"/>
  <c r="C8" i="7"/>
  <c r="B10" i="7"/>
  <c r="B9" i="7"/>
  <c r="B8" i="7"/>
  <c r="H6" i="7"/>
  <c r="H4" i="7"/>
  <c r="G6" i="7"/>
  <c r="G5" i="7"/>
  <c r="G4" i="7"/>
  <c r="F6" i="7"/>
  <c r="F5" i="7"/>
  <c r="F4" i="7"/>
  <c r="D6" i="7"/>
  <c r="D5" i="7"/>
  <c r="D4" i="7"/>
  <c r="C6" i="7"/>
  <c r="C5" i="7"/>
  <c r="C4" i="7"/>
  <c r="B6" i="7"/>
  <c r="B5" i="7"/>
  <c r="B4" i="7"/>
  <c r="D30" i="7"/>
  <c r="B29" i="7"/>
  <c r="C28" i="7"/>
  <c r="B28" i="7"/>
  <c r="D25" i="7"/>
  <c r="C24" i="7"/>
  <c r="D20" i="7"/>
  <c r="B19" i="7"/>
  <c r="C18" i="7"/>
  <c r="B18" i="7"/>
  <c r="P6" i="7"/>
  <c r="C29" i="7" s="1"/>
  <c r="P5" i="7"/>
  <c r="B24" i="7" s="1"/>
  <c r="P4" i="7"/>
  <c r="C19" i="7" s="1"/>
  <c r="J4" i="7"/>
  <c r="R6" i="7" s="1"/>
  <c r="D10" i="5"/>
  <c r="D9" i="5"/>
  <c r="D8" i="5"/>
  <c r="C10" i="5"/>
  <c r="C9" i="5"/>
  <c r="C8" i="5"/>
  <c r="B10" i="5"/>
  <c r="B9" i="5"/>
  <c r="B8" i="5"/>
  <c r="H6" i="5"/>
  <c r="G6" i="5"/>
  <c r="F6" i="5"/>
  <c r="F5" i="5"/>
  <c r="H5" i="5"/>
  <c r="H4" i="5"/>
  <c r="G5" i="5"/>
  <c r="G4" i="5"/>
  <c r="F4" i="5"/>
  <c r="D6" i="5"/>
  <c r="C6" i="5"/>
  <c r="D5" i="5"/>
  <c r="D4" i="5"/>
  <c r="C4" i="5"/>
  <c r="F10" i="6"/>
  <c r="G10" i="6"/>
  <c r="G9" i="6"/>
  <c r="F9" i="6"/>
  <c r="H10" i="6"/>
  <c r="H9" i="6"/>
  <c r="H8" i="6"/>
  <c r="G8" i="6"/>
  <c r="D10" i="6"/>
  <c r="D9" i="6"/>
  <c r="D8" i="6"/>
  <c r="C10" i="6"/>
  <c r="C9" i="6"/>
  <c r="C8" i="6"/>
  <c r="B10" i="6"/>
  <c r="B9" i="6"/>
  <c r="B8" i="6"/>
  <c r="D40" i="6"/>
  <c r="D35" i="6"/>
  <c r="B34" i="6"/>
  <c r="C33" i="6"/>
  <c r="D30" i="6"/>
  <c r="B29" i="6"/>
  <c r="C28" i="6"/>
  <c r="B28" i="6"/>
  <c r="I30" i="6" s="1"/>
  <c r="D25" i="6"/>
  <c r="C24" i="6"/>
  <c r="B24" i="6"/>
  <c r="C23" i="6"/>
  <c r="D20" i="6"/>
  <c r="B19" i="6"/>
  <c r="C18" i="6"/>
  <c r="I19" i="6" s="1"/>
  <c r="B18" i="6"/>
  <c r="G18" i="6" s="1"/>
  <c r="R13" i="6"/>
  <c r="P13" i="6"/>
  <c r="R12" i="6"/>
  <c r="P12" i="6"/>
  <c r="R11" i="6"/>
  <c r="P11" i="6"/>
  <c r="R10" i="6"/>
  <c r="P10" i="6"/>
  <c r="R9" i="6"/>
  <c r="P9" i="6"/>
  <c r="R8" i="6"/>
  <c r="P8" i="6"/>
  <c r="C38" i="6" s="1"/>
  <c r="P7" i="6"/>
  <c r="B33" i="6" s="1"/>
  <c r="R6" i="6"/>
  <c r="P6" i="6"/>
  <c r="C29" i="6" s="1"/>
  <c r="G29" i="6" s="1"/>
  <c r="R5" i="6"/>
  <c r="P5" i="6"/>
  <c r="B23" i="6" s="1"/>
  <c r="R4" i="6"/>
  <c r="H19" i="6" s="1"/>
  <c r="P4" i="6"/>
  <c r="C19" i="6" s="1"/>
  <c r="J4" i="6"/>
  <c r="R7" i="6" s="1"/>
  <c r="D40" i="5"/>
  <c r="C39" i="5"/>
  <c r="B39" i="5"/>
  <c r="C38" i="5"/>
  <c r="D35" i="5"/>
  <c r="B34" i="5"/>
  <c r="D30" i="5"/>
  <c r="D25" i="5"/>
  <c r="D20" i="5"/>
  <c r="R13" i="5"/>
  <c r="P13" i="5"/>
  <c r="R12" i="5"/>
  <c r="P12" i="5"/>
  <c r="R11" i="5"/>
  <c r="P11" i="5"/>
  <c r="R10" i="5"/>
  <c r="P10" i="5"/>
  <c r="R9" i="5"/>
  <c r="P9" i="5"/>
  <c r="P8" i="5"/>
  <c r="B38" i="5" s="1"/>
  <c r="P7" i="5"/>
  <c r="C33" i="5" s="1"/>
  <c r="P6" i="5"/>
  <c r="C28" i="5" s="1"/>
  <c r="P5" i="5"/>
  <c r="C24" i="5" s="1"/>
  <c r="P4" i="5"/>
  <c r="C19" i="5" s="1"/>
  <c r="J4" i="5"/>
  <c r="R8" i="5" s="1"/>
  <c r="P18" i="11" l="1" a="1"/>
  <c r="R19" i="11" s="1"/>
  <c r="L18" i="11" a="1"/>
  <c r="L18" i="11" s="1"/>
  <c r="D8" i="11"/>
  <c r="L23" i="11" s="1" a="1"/>
  <c r="P23" i="11" a="1"/>
  <c r="I23" i="10"/>
  <c r="H25" i="10"/>
  <c r="I24" i="10"/>
  <c r="I20" i="10"/>
  <c r="I18" i="10"/>
  <c r="H23" i="10"/>
  <c r="G24" i="10"/>
  <c r="G19" i="10"/>
  <c r="I19" i="10"/>
  <c r="H24" i="10"/>
  <c r="G20" i="10"/>
  <c r="H20" i="10"/>
  <c r="G25" i="10"/>
  <c r="G18" i="10"/>
  <c r="G23" i="10"/>
  <c r="G25" i="9"/>
  <c r="I23" i="9"/>
  <c r="L19" i="8"/>
  <c r="M19" i="8"/>
  <c r="N20" i="8"/>
  <c r="L18" i="8"/>
  <c r="N19" i="8"/>
  <c r="N18" i="8"/>
  <c r="L20" i="8"/>
  <c r="M20" i="8"/>
  <c r="M18" i="8"/>
  <c r="L23" i="8" a="1"/>
  <c r="Q24" i="8"/>
  <c r="P23" i="8"/>
  <c r="R24" i="8"/>
  <c r="R25" i="8"/>
  <c r="Q23" i="8"/>
  <c r="P25" i="8"/>
  <c r="P24" i="8"/>
  <c r="Q25" i="8"/>
  <c r="R23" i="8"/>
  <c r="P18" i="8" a="1"/>
  <c r="G20" i="7"/>
  <c r="I30" i="7"/>
  <c r="I28" i="7"/>
  <c r="B23" i="7"/>
  <c r="H20" i="7"/>
  <c r="H30" i="7"/>
  <c r="I20" i="7"/>
  <c r="H18" i="7"/>
  <c r="G19" i="7"/>
  <c r="C23" i="7"/>
  <c r="G29" i="7"/>
  <c r="H19" i="7"/>
  <c r="I29" i="7"/>
  <c r="I18" i="7"/>
  <c r="H29" i="7"/>
  <c r="G28" i="7"/>
  <c r="I19" i="7"/>
  <c r="R4" i="7"/>
  <c r="G18" i="7" s="1"/>
  <c r="R5" i="7"/>
  <c r="H28" i="7"/>
  <c r="G30" i="7"/>
  <c r="C6" i="6"/>
  <c r="I34" i="6"/>
  <c r="G34" i="6"/>
  <c r="I35" i="6"/>
  <c r="H35" i="6"/>
  <c r="H33" i="6"/>
  <c r="G5" i="6"/>
  <c r="G24" i="6"/>
  <c r="H23" i="6"/>
  <c r="I25" i="6"/>
  <c r="H25" i="6"/>
  <c r="I24" i="6"/>
  <c r="G25" i="6"/>
  <c r="H24" i="6"/>
  <c r="C5" i="6" s="1"/>
  <c r="I23" i="6"/>
  <c r="G23" i="6"/>
  <c r="F4" i="6" s="1"/>
  <c r="G19" i="6"/>
  <c r="I20" i="6"/>
  <c r="H18" i="6"/>
  <c r="H29" i="6"/>
  <c r="I29" i="6"/>
  <c r="B39" i="6"/>
  <c r="G28" i="6"/>
  <c r="C39" i="6"/>
  <c r="G20" i="6"/>
  <c r="H20" i="6"/>
  <c r="I28" i="6"/>
  <c r="H30" i="6"/>
  <c r="C34" i="6"/>
  <c r="I33" i="6" s="1"/>
  <c r="B38" i="6"/>
  <c r="H28" i="6"/>
  <c r="G30" i="6"/>
  <c r="I18" i="6"/>
  <c r="I40" i="5"/>
  <c r="H40" i="5"/>
  <c r="I38" i="5"/>
  <c r="G40" i="5"/>
  <c r="H38" i="5"/>
  <c r="G38" i="5"/>
  <c r="I39" i="5"/>
  <c r="H39" i="5"/>
  <c r="G39" i="5"/>
  <c r="B18" i="5"/>
  <c r="C34" i="5"/>
  <c r="R4" i="5"/>
  <c r="R5" i="5"/>
  <c r="R6" i="5"/>
  <c r="R7" i="5"/>
  <c r="C18" i="5"/>
  <c r="B19" i="5"/>
  <c r="B23" i="5"/>
  <c r="C29" i="5"/>
  <c r="B33" i="5"/>
  <c r="B29" i="5"/>
  <c r="C23" i="5"/>
  <c r="B24" i="5"/>
  <c r="B28" i="5"/>
  <c r="Q20" i="11" l="1"/>
  <c r="P20" i="11"/>
  <c r="Q18" i="11"/>
  <c r="P18" i="11"/>
  <c r="R18" i="11"/>
  <c r="P19" i="11"/>
  <c r="R20" i="11"/>
  <c r="Q19" i="11"/>
  <c r="M19" i="11"/>
  <c r="N18" i="11"/>
  <c r="M18" i="11"/>
  <c r="L20" i="11"/>
  <c r="N20" i="11"/>
  <c r="L19" i="11"/>
  <c r="N19" i="11"/>
  <c r="M20" i="11"/>
  <c r="Q25" i="11"/>
  <c r="P25" i="11"/>
  <c r="R24" i="11"/>
  <c r="Q24" i="11"/>
  <c r="P24" i="11"/>
  <c r="P23" i="11"/>
  <c r="R23" i="11"/>
  <c r="Q23" i="11"/>
  <c r="R25" i="11"/>
  <c r="N25" i="11"/>
  <c r="L23" i="11"/>
  <c r="M25" i="11"/>
  <c r="L25" i="11"/>
  <c r="N24" i="11"/>
  <c r="M24" i="11"/>
  <c r="N23" i="11"/>
  <c r="M23" i="11"/>
  <c r="L24" i="11"/>
  <c r="D6" i="9"/>
  <c r="I28" i="9"/>
  <c r="H30" i="9"/>
  <c r="G30" i="9"/>
  <c r="I29" i="9"/>
  <c r="I24" i="9"/>
  <c r="H20" i="9"/>
  <c r="G20" i="9"/>
  <c r="I19" i="9"/>
  <c r="H10" i="9"/>
  <c r="H25" i="9"/>
  <c r="N23" i="8"/>
  <c r="L25" i="8"/>
  <c r="L24" i="8"/>
  <c r="M24" i="8"/>
  <c r="N25" i="8"/>
  <c r="L23" i="8"/>
  <c r="N24" i="8"/>
  <c r="M23" i="8"/>
  <c r="M25" i="8"/>
  <c r="P20" i="8"/>
  <c r="Q19" i="8"/>
  <c r="P18" i="8"/>
  <c r="R19" i="8"/>
  <c r="R20" i="8"/>
  <c r="Q18" i="8"/>
  <c r="R18" i="8"/>
  <c r="P19" i="8"/>
  <c r="Q20" i="8"/>
  <c r="I24" i="7"/>
  <c r="G23" i="7"/>
  <c r="H24" i="7"/>
  <c r="I23" i="7"/>
  <c r="G24" i="7"/>
  <c r="H23" i="7"/>
  <c r="I25" i="7"/>
  <c r="G25" i="7"/>
  <c r="H25" i="7"/>
  <c r="D5" i="6"/>
  <c r="F8" i="6"/>
  <c r="P23" i="6" s="1" a="1"/>
  <c r="G40" i="6"/>
  <c r="H38" i="6"/>
  <c r="G38" i="6"/>
  <c r="I39" i="6"/>
  <c r="G39" i="6"/>
  <c r="H39" i="6"/>
  <c r="I40" i="6"/>
  <c r="H40" i="6"/>
  <c r="I38" i="6"/>
  <c r="H34" i="6"/>
  <c r="G6" i="6"/>
  <c r="G4" i="6"/>
  <c r="P18" i="6" s="1" a="1"/>
  <c r="F5" i="6"/>
  <c r="B5" i="6"/>
  <c r="C4" i="6"/>
  <c r="G33" i="6"/>
  <c r="L23" i="6" s="1" a="1"/>
  <c r="G35" i="6"/>
  <c r="H5" i="6"/>
  <c r="H6" i="6"/>
  <c r="D6" i="6"/>
  <c r="B4" i="6"/>
  <c r="L18" i="6" s="1" a="1"/>
  <c r="H4" i="6"/>
  <c r="D4" i="6"/>
  <c r="B6" i="6"/>
  <c r="F6" i="6"/>
  <c r="G35" i="5"/>
  <c r="H33" i="5"/>
  <c r="G33" i="5"/>
  <c r="I34" i="5"/>
  <c r="G34" i="5"/>
  <c r="H34" i="5"/>
  <c r="H35" i="5"/>
  <c r="I33" i="5"/>
  <c r="I35" i="5"/>
  <c r="I29" i="5"/>
  <c r="H29" i="5"/>
  <c r="G29" i="5"/>
  <c r="I30" i="5"/>
  <c r="G28" i="5"/>
  <c r="H30" i="5"/>
  <c r="I28" i="5"/>
  <c r="G30" i="5"/>
  <c r="H28" i="5"/>
  <c r="G24" i="5"/>
  <c r="H23" i="5"/>
  <c r="G23" i="5"/>
  <c r="I25" i="5"/>
  <c r="G25" i="5"/>
  <c r="H25" i="5"/>
  <c r="H24" i="5"/>
  <c r="I23" i="5"/>
  <c r="I24" i="5"/>
  <c r="I19" i="5"/>
  <c r="H19" i="5"/>
  <c r="I18" i="5"/>
  <c r="G19" i="5"/>
  <c r="H18" i="5"/>
  <c r="G18" i="5"/>
  <c r="G20" i="5"/>
  <c r="I20" i="5"/>
  <c r="H20" i="5"/>
  <c r="F8" i="9" l="1"/>
  <c r="F4" i="9"/>
  <c r="B4" i="9"/>
  <c r="G9" i="9"/>
  <c r="C5" i="9"/>
  <c r="G5" i="9"/>
  <c r="C9" i="9" s="1"/>
  <c r="D5" i="9"/>
  <c r="C6" i="9"/>
  <c r="G10" i="9"/>
  <c r="D9" i="9"/>
  <c r="G6" i="9"/>
  <c r="C10" i="9" s="1"/>
  <c r="F5" i="9"/>
  <c r="B9" i="9" s="1"/>
  <c r="G4" i="9"/>
  <c r="C8" i="9" s="1"/>
  <c r="F9" i="9"/>
  <c r="B5" i="9"/>
  <c r="C4" i="9"/>
  <c r="G8" i="9"/>
  <c r="F6" i="9"/>
  <c r="B10" i="9" s="1"/>
  <c r="D4" i="9"/>
  <c r="B6" i="9"/>
  <c r="H8" i="9"/>
  <c r="H4" i="9"/>
  <c r="D8" i="9" s="1"/>
  <c r="F10" i="9"/>
  <c r="H6" i="9"/>
  <c r="D10" i="9" s="1"/>
  <c r="H9" i="7"/>
  <c r="L18" i="7" a="1"/>
  <c r="H5" i="7"/>
  <c r="M24" i="6"/>
  <c r="N23" i="6"/>
  <c r="M25" i="6"/>
  <c r="M23" i="6"/>
  <c r="N25" i="6"/>
  <c r="L23" i="6"/>
  <c r="L24" i="6"/>
  <c r="L25" i="6"/>
  <c r="N24" i="6"/>
  <c r="R19" i="6"/>
  <c r="R18" i="6"/>
  <c r="Q18" i="6"/>
  <c r="R20" i="6"/>
  <c r="P18" i="6"/>
  <c r="Q20" i="6"/>
  <c r="P20" i="6"/>
  <c r="Q19" i="6"/>
  <c r="P19" i="6"/>
  <c r="M19" i="6"/>
  <c r="M18" i="6"/>
  <c r="L19" i="6"/>
  <c r="N19" i="6"/>
  <c r="N18" i="6"/>
  <c r="N20" i="6"/>
  <c r="L18" i="6"/>
  <c r="M20" i="6"/>
  <c r="L20" i="6"/>
  <c r="R23" i="6"/>
  <c r="R25" i="6"/>
  <c r="P23" i="6"/>
  <c r="Q25" i="6"/>
  <c r="P25" i="6"/>
  <c r="R24" i="6"/>
  <c r="Q24" i="6"/>
  <c r="P24" i="6"/>
  <c r="Q23" i="6"/>
  <c r="G8" i="5"/>
  <c r="F9" i="5"/>
  <c r="B5" i="5"/>
  <c r="H8" i="5"/>
  <c r="F10" i="5"/>
  <c r="B6" i="5"/>
  <c r="C5" i="5"/>
  <c r="G9" i="5"/>
  <c r="H9" i="5"/>
  <c r="G10" i="5"/>
  <c r="H10" i="5"/>
  <c r="P18" i="5" a="1"/>
  <c r="B4" i="5"/>
  <c r="F8" i="5"/>
  <c r="L18" i="9" l="1" a="1"/>
  <c r="P18" i="9" a="1"/>
  <c r="B8" i="9"/>
  <c r="L23" i="9" s="1" a="1"/>
  <c r="P23" i="9" a="1"/>
  <c r="L23" i="7" a="1"/>
  <c r="N25" i="7" s="1"/>
  <c r="M18" i="7"/>
  <c r="M20" i="7"/>
  <c r="N20" i="7"/>
  <c r="L18" i="7"/>
  <c r="L20" i="7"/>
  <c r="N19" i="7"/>
  <c r="M19" i="7"/>
  <c r="L19" i="7"/>
  <c r="N18" i="7"/>
  <c r="P23" i="7" a="1"/>
  <c r="P18" i="7" a="1"/>
  <c r="R19" i="5"/>
  <c r="Q19" i="5"/>
  <c r="P19" i="5"/>
  <c r="R18" i="5"/>
  <c r="Q18" i="5"/>
  <c r="P20" i="5"/>
  <c r="Q20" i="5"/>
  <c r="R20" i="5"/>
  <c r="P18" i="5"/>
  <c r="P23" i="5" a="1"/>
  <c r="L18" i="5" a="1"/>
  <c r="L23" i="5" a="1"/>
  <c r="M23" i="9" l="1"/>
  <c r="N25" i="9"/>
  <c r="L23" i="9"/>
  <c r="M25" i="9"/>
  <c r="L25" i="9"/>
  <c r="N23" i="9"/>
  <c r="N24" i="9"/>
  <c r="M24" i="9"/>
  <c r="L24" i="9"/>
  <c r="L19" i="9"/>
  <c r="N18" i="9"/>
  <c r="M18" i="9"/>
  <c r="N20" i="9"/>
  <c r="L18" i="9"/>
  <c r="L20" i="9"/>
  <c r="N19" i="9"/>
  <c r="M19" i="9"/>
  <c r="M20" i="9"/>
  <c r="Q25" i="9"/>
  <c r="P25" i="9"/>
  <c r="R24" i="9"/>
  <c r="Q24" i="9"/>
  <c r="R25" i="9"/>
  <c r="P23" i="9"/>
  <c r="P24" i="9"/>
  <c r="R23" i="9"/>
  <c r="Q23" i="9"/>
  <c r="Q18" i="9"/>
  <c r="R20" i="9"/>
  <c r="P18" i="9"/>
  <c r="Q20" i="9"/>
  <c r="P20" i="9"/>
  <c r="Q19" i="9"/>
  <c r="P19" i="9"/>
  <c r="R18" i="9"/>
  <c r="R19" i="9"/>
  <c r="N23" i="7"/>
  <c r="M23" i="7"/>
  <c r="L24" i="7"/>
  <c r="M24" i="7"/>
  <c r="N24" i="7"/>
  <c r="L23" i="7"/>
  <c r="L25" i="7"/>
  <c r="M25" i="7"/>
  <c r="Q20" i="7"/>
  <c r="P20" i="7"/>
  <c r="R19" i="7"/>
  <c r="Q19" i="7"/>
  <c r="P19" i="7"/>
  <c r="R18" i="7"/>
  <c r="Q18" i="7"/>
  <c r="R20" i="7"/>
  <c r="P18" i="7"/>
  <c r="Q25" i="7"/>
  <c r="R24" i="7"/>
  <c r="P24" i="7"/>
  <c r="R23" i="7"/>
  <c r="Q24" i="7"/>
  <c r="Q23" i="7"/>
  <c r="R25" i="7"/>
  <c r="P23" i="7"/>
  <c r="P25" i="7"/>
  <c r="N24" i="5"/>
  <c r="M24" i="5"/>
  <c r="L24" i="5"/>
  <c r="N23" i="5"/>
  <c r="M23" i="5"/>
  <c r="L25" i="5"/>
  <c r="N25" i="5"/>
  <c r="L23" i="5"/>
  <c r="M25" i="5"/>
  <c r="M20" i="5"/>
  <c r="L20" i="5"/>
  <c r="N19" i="5"/>
  <c r="M19" i="5"/>
  <c r="M18" i="5"/>
  <c r="N20" i="5"/>
  <c r="L18" i="5"/>
  <c r="L19" i="5"/>
  <c r="N18" i="5"/>
  <c r="P24" i="5"/>
  <c r="R23" i="5"/>
  <c r="Q23" i="5"/>
  <c r="Q25" i="5"/>
  <c r="R25" i="5"/>
  <c r="P23" i="5"/>
  <c r="Q24" i="5"/>
  <c r="P25" i="5"/>
  <c r="R24" i="5"/>
  <c r="D40" i="4"/>
  <c r="C39" i="4"/>
  <c r="D35" i="4"/>
  <c r="D30" i="4"/>
  <c r="D25" i="4"/>
  <c r="D20" i="4"/>
  <c r="R13" i="4"/>
  <c r="P13" i="4"/>
  <c r="R12" i="4"/>
  <c r="P12" i="4"/>
  <c r="R11" i="4"/>
  <c r="P11" i="4"/>
  <c r="R10" i="4"/>
  <c r="P10" i="4"/>
  <c r="R9" i="4"/>
  <c r="P9" i="4"/>
  <c r="R8" i="4"/>
  <c r="P8" i="4"/>
  <c r="B39" i="4" s="1"/>
  <c r="P7" i="4"/>
  <c r="C33" i="4" s="1"/>
  <c r="P6" i="4"/>
  <c r="C28" i="4" s="1"/>
  <c r="P5" i="4"/>
  <c r="C24" i="4" s="1"/>
  <c r="P4" i="4"/>
  <c r="C19" i="4" s="1"/>
  <c r="J4" i="4"/>
  <c r="R7" i="4" s="1"/>
  <c r="L23" i="1" a="1"/>
  <c r="N24" i="1" s="1"/>
  <c r="P18" i="1" a="1"/>
  <c r="P18" i="1" s="1"/>
  <c r="C10" i="1"/>
  <c r="G6" i="1"/>
  <c r="D9" i="1"/>
  <c r="H5" i="1"/>
  <c r="B10" i="1"/>
  <c r="D8" i="1"/>
  <c r="H4" i="1"/>
  <c r="B9" i="1"/>
  <c r="C8" i="1"/>
  <c r="G4" i="1"/>
  <c r="D10" i="1"/>
  <c r="H6" i="1"/>
  <c r="C9" i="1"/>
  <c r="G5" i="1"/>
  <c r="B8" i="1"/>
  <c r="F4" i="1"/>
  <c r="H9" i="1"/>
  <c r="F6" i="1"/>
  <c r="H8" i="1"/>
  <c r="F5" i="1"/>
  <c r="F9" i="1"/>
  <c r="H10" i="1"/>
  <c r="G9" i="1"/>
  <c r="F8" i="1"/>
  <c r="R5" i="1"/>
  <c r="R6" i="1"/>
  <c r="R7" i="1"/>
  <c r="R4" i="1"/>
  <c r="H19" i="1" s="1"/>
  <c r="J4" i="1"/>
  <c r="R8" i="1"/>
  <c r="H39" i="1" s="1"/>
  <c r="R9" i="1"/>
  <c r="R10" i="1"/>
  <c r="R11" i="1"/>
  <c r="R12" i="1"/>
  <c r="R13" i="1"/>
  <c r="H10" i="2"/>
  <c r="G10" i="2"/>
  <c r="F10" i="2"/>
  <c r="H9" i="2"/>
  <c r="G9" i="2"/>
  <c r="F9" i="2"/>
  <c r="H8" i="2"/>
  <c r="G8" i="2"/>
  <c r="F8" i="2"/>
  <c r="F4" i="2"/>
  <c r="D10" i="2"/>
  <c r="D9" i="2"/>
  <c r="D8" i="2"/>
  <c r="C10" i="2"/>
  <c r="C9" i="2"/>
  <c r="C8" i="2"/>
  <c r="B10" i="2"/>
  <c r="B9" i="2"/>
  <c r="B8" i="2"/>
  <c r="H6" i="2"/>
  <c r="G6" i="2"/>
  <c r="F6" i="2"/>
  <c r="H5" i="2"/>
  <c r="G5" i="2"/>
  <c r="F5" i="2"/>
  <c r="H4" i="2"/>
  <c r="G4" i="2"/>
  <c r="D6" i="2"/>
  <c r="H20" i="2"/>
  <c r="C6" i="2"/>
  <c r="B6" i="2"/>
  <c r="D5" i="2"/>
  <c r="C5" i="2"/>
  <c r="B5" i="2"/>
  <c r="D4" i="2"/>
  <c r="C4" i="2"/>
  <c r="B4" i="2"/>
  <c r="R5" i="2"/>
  <c r="I25" i="2" s="1"/>
  <c r="R4" i="2"/>
  <c r="H24" i="2"/>
  <c r="G25" i="2"/>
  <c r="I24" i="2"/>
  <c r="I23" i="2"/>
  <c r="H23" i="2"/>
  <c r="G23" i="2"/>
  <c r="H40" i="1"/>
  <c r="I39" i="1"/>
  <c r="G40" i="1"/>
  <c r="G39" i="1"/>
  <c r="H38" i="1"/>
  <c r="I40" i="1"/>
  <c r="G38" i="1"/>
  <c r="B39" i="1"/>
  <c r="C38" i="1"/>
  <c r="C39" i="1"/>
  <c r="B38" i="1"/>
  <c r="D40" i="1"/>
  <c r="D35" i="1"/>
  <c r="D30" i="1"/>
  <c r="D25" i="1"/>
  <c r="D20" i="1"/>
  <c r="P5" i="1"/>
  <c r="B24" i="1" s="1"/>
  <c r="P6" i="1"/>
  <c r="C29" i="1" s="1"/>
  <c r="P7" i="1"/>
  <c r="B33" i="1" s="1"/>
  <c r="P8" i="1"/>
  <c r="P9" i="1"/>
  <c r="P10" i="1"/>
  <c r="P11" i="1"/>
  <c r="P12" i="1"/>
  <c r="P13" i="1"/>
  <c r="P4" i="1"/>
  <c r="B19" i="1" s="1"/>
  <c r="R5" i="4" l="1"/>
  <c r="R6" i="4"/>
  <c r="B34" i="4"/>
  <c r="R4" i="4"/>
  <c r="B18" i="4"/>
  <c r="C34" i="4"/>
  <c r="B38" i="4"/>
  <c r="C18" i="4"/>
  <c r="B19" i="4"/>
  <c r="B29" i="4"/>
  <c r="C38" i="4"/>
  <c r="B23" i="4"/>
  <c r="C29" i="4"/>
  <c r="B33" i="4"/>
  <c r="C23" i="4"/>
  <c r="B24" i="4"/>
  <c r="B28" i="4"/>
  <c r="L25" i="1"/>
  <c r="M24" i="1"/>
  <c r="L24" i="1"/>
  <c r="N23" i="1"/>
  <c r="M23" i="1"/>
  <c r="N25" i="1"/>
  <c r="L23" i="1"/>
  <c r="M25" i="1"/>
  <c r="Q20" i="1"/>
  <c r="P20" i="1"/>
  <c r="R19" i="1"/>
  <c r="Q19" i="1"/>
  <c r="P19" i="1"/>
  <c r="R18" i="1"/>
  <c r="Q18" i="1"/>
  <c r="R20" i="1"/>
  <c r="B18" i="1"/>
  <c r="C28" i="1"/>
  <c r="C18" i="1"/>
  <c r="I38" i="1"/>
  <c r="C34" i="1"/>
  <c r="B34" i="1"/>
  <c r="C33" i="1"/>
  <c r="B29" i="1"/>
  <c r="B28" i="1"/>
  <c r="B23" i="1"/>
  <c r="C24" i="1"/>
  <c r="C23" i="1"/>
  <c r="C19" i="1"/>
  <c r="G24" i="2"/>
  <c r="H25" i="2"/>
  <c r="I18" i="2"/>
  <c r="H18" i="2"/>
  <c r="I20" i="2"/>
  <c r="H19" i="2"/>
  <c r="G18" i="2"/>
  <c r="G20" i="2"/>
  <c r="I19" i="2"/>
  <c r="G19" i="2"/>
  <c r="I40" i="4" l="1"/>
  <c r="H40" i="4"/>
  <c r="I38" i="4"/>
  <c r="G40" i="4"/>
  <c r="H38" i="4"/>
  <c r="G38" i="4"/>
  <c r="I39" i="4"/>
  <c r="H39" i="4"/>
  <c r="G39" i="4"/>
  <c r="I29" i="4"/>
  <c r="H29" i="4"/>
  <c r="G29" i="4"/>
  <c r="G28" i="4"/>
  <c r="I30" i="4"/>
  <c r="H30" i="4"/>
  <c r="I28" i="4"/>
  <c r="G30" i="4"/>
  <c r="H28" i="4"/>
  <c r="G35" i="4"/>
  <c r="H33" i="4"/>
  <c r="G33" i="4"/>
  <c r="I34" i="4"/>
  <c r="H34" i="4"/>
  <c r="H35" i="4"/>
  <c r="G34" i="4"/>
  <c r="I33" i="4"/>
  <c r="I35" i="4"/>
  <c r="I19" i="4"/>
  <c r="H19" i="4"/>
  <c r="I18" i="4"/>
  <c r="G19" i="4"/>
  <c r="H18" i="4"/>
  <c r="G18" i="4"/>
  <c r="I20" i="4"/>
  <c r="H20" i="4"/>
  <c r="G20" i="4"/>
  <c r="G24" i="4"/>
  <c r="H23" i="4"/>
  <c r="G23" i="4"/>
  <c r="I25" i="4"/>
  <c r="H25" i="4"/>
  <c r="I23" i="4"/>
  <c r="G25" i="4"/>
  <c r="H24" i="4"/>
  <c r="I24" i="4"/>
  <c r="I29" i="1"/>
  <c r="I33" i="1"/>
  <c r="G19" i="1"/>
  <c r="I18" i="1"/>
  <c r="G33" i="1"/>
  <c r="H34" i="1"/>
  <c r="G34" i="1"/>
  <c r="G35" i="1"/>
  <c r="I35" i="1"/>
  <c r="H33" i="1"/>
  <c r="I34" i="1"/>
  <c r="H35" i="1"/>
  <c r="G30" i="1"/>
  <c r="G29" i="1"/>
  <c r="H29" i="1"/>
  <c r="H28" i="1"/>
  <c r="I30" i="1"/>
  <c r="H30" i="1"/>
  <c r="G28" i="1"/>
  <c r="I28" i="1"/>
  <c r="I24" i="1"/>
  <c r="H24" i="1"/>
  <c r="H25" i="1"/>
  <c r="G24" i="1"/>
  <c r="I25" i="1"/>
  <c r="I23" i="1"/>
  <c r="G25" i="1"/>
  <c r="H23" i="1"/>
  <c r="G23" i="1"/>
  <c r="G20" i="1"/>
  <c r="H20" i="1"/>
  <c r="I20" i="1"/>
  <c r="I19" i="1"/>
  <c r="H18" i="1"/>
  <c r="G18" i="1"/>
  <c r="F10" i="4" l="1"/>
  <c r="D8" i="4"/>
  <c r="H4" i="4"/>
  <c r="F6" i="4"/>
  <c r="B10" i="4"/>
  <c r="D4" i="4"/>
  <c r="B6" i="4"/>
  <c r="H8" i="4"/>
  <c r="F8" i="4"/>
  <c r="F4" i="4"/>
  <c r="B8" i="4"/>
  <c r="B4" i="4"/>
  <c r="G5" i="4"/>
  <c r="C5" i="4"/>
  <c r="G9" i="4"/>
  <c r="C9" i="4"/>
  <c r="H6" i="4"/>
  <c r="D10" i="4"/>
  <c r="D6" i="4"/>
  <c r="H10" i="4"/>
  <c r="H5" i="4"/>
  <c r="D9" i="4"/>
  <c r="G6" i="4"/>
  <c r="C10" i="4"/>
  <c r="D5" i="4"/>
  <c r="C6" i="4"/>
  <c r="G10" i="4"/>
  <c r="H9" i="4"/>
  <c r="F9" i="4"/>
  <c r="C8" i="4"/>
  <c r="F5" i="4"/>
  <c r="G4" i="4"/>
  <c r="B9" i="4"/>
  <c r="B5" i="4"/>
  <c r="C4" i="4"/>
  <c r="G8" i="4"/>
  <c r="F10" i="1"/>
  <c r="G8" i="1"/>
  <c r="G10" i="1"/>
  <c r="B4" i="1"/>
  <c r="C5" i="1"/>
  <c r="D6" i="1"/>
  <c r="D5" i="1"/>
  <c r="C6" i="1"/>
  <c r="B5" i="1"/>
  <c r="C4" i="1"/>
  <c r="B6" i="1"/>
  <c r="D4" i="1"/>
  <c r="L18" i="4" l="1" a="1"/>
  <c r="L23" i="4" a="1"/>
  <c r="P18" i="4" a="1"/>
  <c r="P23" i="4" a="1"/>
  <c r="L18" i="1" a="1"/>
  <c r="L18" i="1" s="1"/>
  <c r="P23" i="1" a="1"/>
  <c r="Q24" i="1" s="1"/>
  <c r="N24" i="4" l="1"/>
  <c r="M24" i="4"/>
  <c r="L24" i="4"/>
  <c r="N23" i="4"/>
  <c r="M23" i="4"/>
  <c r="N25" i="4"/>
  <c r="L23" i="4"/>
  <c r="L25" i="4"/>
  <c r="M25" i="4"/>
  <c r="M20" i="4"/>
  <c r="L20" i="4"/>
  <c r="N20" i="4"/>
  <c r="N19" i="4"/>
  <c r="M19" i="4"/>
  <c r="L19" i="4"/>
  <c r="N18" i="4"/>
  <c r="L18" i="4"/>
  <c r="M18" i="4"/>
  <c r="R19" i="4"/>
  <c r="Q19" i="4"/>
  <c r="P19" i="4"/>
  <c r="R18" i="4"/>
  <c r="P20" i="4"/>
  <c r="Q18" i="4"/>
  <c r="R20" i="4"/>
  <c r="P18" i="4"/>
  <c r="Q20" i="4"/>
  <c r="P24" i="4"/>
  <c r="R23" i="4"/>
  <c r="Q23" i="4"/>
  <c r="R25" i="4"/>
  <c r="P23" i="4"/>
  <c r="Q24" i="4"/>
  <c r="Q25" i="4"/>
  <c r="P25" i="4"/>
  <c r="R24" i="4"/>
  <c r="N18" i="1"/>
  <c r="L19" i="1"/>
  <c r="M19" i="1"/>
  <c r="M18" i="1"/>
  <c r="N19" i="1"/>
  <c r="L20" i="1"/>
  <c r="M20" i="1"/>
  <c r="N20" i="1"/>
  <c r="Q23" i="1"/>
  <c r="P24" i="1"/>
  <c r="R23" i="1"/>
  <c r="P23" i="1"/>
  <c r="R25" i="1"/>
  <c r="Q25" i="1"/>
  <c r="P25" i="1"/>
  <c r="R24" i="1"/>
</calcChain>
</file>

<file path=xl/sharedStrings.xml><?xml version="1.0" encoding="utf-8"?>
<sst xmlns="http://schemas.openxmlformats.org/spreadsheetml/2006/main" count="162" uniqueCount="25">
  <si>
    <t>A</t>
  </si>
  <si>
    <t>B</t>
  </si>
  <si>
    <t>D</t>
  </si>
  <si>
    <t>E1</t>
  </si>
  <si>
    <t>E2</t>
  </si>
  <si>
    <t>v12</t>
  </si>
  <si>
    <t>v21</t>
  </si>
  <si>
    <t xml:space="preserve">layer </t>
  </si>
  <si>
    <t>G12</t>
  </si>
  <si>
    <t>Qij</t>
  </si>
  <si>
    <t>Q-ij</t>
  </si>
  <si>
    <t>layer</t>
  </si>
  <si>
    <t>thickness</t>
  </si>
  <si>
    <t>Angle (Deg)</t>
  </si>
  <si>
    <t>Angle (rad)</t>
  </si>
  <si>
    <t>z0</t>
  </si>
  <si>
    <t>z1</t>
  </si>
  <si>
    <t>z2</t>
  </si>
  <si>
    <t>Z1</t>
  </si>
  <si>
    <t>Z1-1</t>
  </si>
  <si>
    <t>a</t>
  </si>
  <si>
    <t>b</t>
  </si>
  <si>
    <t>d</t>
  </si>
  <si>
    <t>Angle (deg)</t>
  </si>
  <si>
    <t xml:space="preserve">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</si>
</sst>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11" fontId="0" fillId="0" borderId="0" xfId="0" applyNumberFormat="1"/>
    <xf numFmtId="11" fontId="0" fillId="0" borderId="1" xfId="0" applyNumberFormat="1" applyBorder="1"/>
    <xf numFmtId="11" fontId="0" fillId="0" borderId="4" xfId="0" applyNumberFormat="1" applyBorder="1"/>
    <xf numFmtId="11" fontId="0" fillId="0" borderId="6" xfId="0" applyNumberFormat="1" applyBorder="1"/>
    <xf numFmtId="11" fontId="0" fillId="0" borderId="2" xfId="0" applyNumberFormat="1" applyBorder="1"/>
    <xf numFmtId="11" fontId="0" fillId="0" borderId="3" xfId="0" applyNumberFormat="1" applyBorder="1"/>
    <xf numFmtId="11" fontId="0" fillId="0" borderId="5" xfId="0" applyNumberFormat="1" applyBorder="1"/>
    <xf numFmtId="11" fontId="0" fillId="0" borderId="7" xfId="0" applyNumberFormat="1" applyBorder="1"/>
    <xf numFmtId="11" fontId="0" fillId="0" borderId="8" xfId="0" applyNumberFormat="1" applyBorder="1"/>
    <xf numFmtId="11" fontId="0" fillId="0" borderId="0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7196-8211-4569-9243-4373958952FA}">
  <dimension ref="A3:U40"/>
  <sheetViews>
    <sheetView zoomScale="88" workbookViewId="0">
      <selection sqref="A1:U31"/>
    </sheetView>
  </sheetViews>
  <sheetFormatPr defaultRowHeight="14.4" x14ac:dyDescent="0.3"/>
  <cols>
    <col min="1" max="1" width="9" bestFit="1" customWidth="1"/>
    <col min="2" max="2" width="12.77734375" bestFit="1" customWidth="1"/>
    <col min="3" max="3" width="12" bestFit="1" customWidth="1"/>
    <col min="4" max="4" width="12.77734375" bestFit="1" customWidth="1"/>
    <col min="6" max="6" width="11.5546875" customWidth="1"/>
    <col min="7" max="7" width="12" bestFit="1" customWidth="1"/>
    <col min="8" max="8" width="12.6640625" bestFit="1" customWidth="1"/>
    <col min="9" max="9" width="12" bestFit="1" customWidth="1"/>
    <col min="12" max="14" width="12.77734375" bestFit="1" customWidth="1"/>
    <col min="15" max="15" width="8.88671875" customWidth="1"/>
    <col min="16" max="17" width="11.77734375" bestFit="1" customWidth="1"/>
    <col min="18" max="18" width="10" customWidth="1"/>
    <col min="19" max="19" width="9" bestFit="1" customWidth="1"/>
    <col min="20" max="20" width="11.77734375" customWidth="1"/>
    <col min="21" max="21" width="10.21875" bestFit="1" customWidth="1"/>
  </cols>
  <sheetData>
    <row r="3" spans="1:21" ht="15" thickBot="1" x14ac:dyDescent="0.35">
      <c r="B3" t="s">
        <v>0</v>
      </c>
      <c r="F3" t="s">
        <v>1</v>
      </c>
      <c r="L3" t="s">
        <v>7</v>
      </c>
      <c r="M3" t="s">
        <v>3</v>
      </c>
      <c r="N3" t="s">
        <v>4</v>
      </c>
      <c r="O3" t="s">
        <v>5</v>
      </c>
      <c r="P3" t="s">
        <v>6</v>
      </c>
      <c r="Q3" t="s">
        <v>8</v>
      </c>
      <c r="R3" t="s">
        <v>14</v>
      </c>
      <c r="S3" t="s">
        <v>18</v>
      </c>
      <c r="T3" t="s">
        <v>19</v>
      </c>
      <c r="U3" t="s">
        <v>13</v>
      </c>
    </row>
    <row r="4" spans="1:21" x14ac:dyDescent="0.3">
      <c r="B4" s="1">
        <f>(G18*(S4-T4))+(G23*(S5-T5))+(G28*(S6-T6))+(G33*(S7-T7))</f>
        <v>181870197.80938372</v>
      </c>
      <c r="C4" s="2">
        <f>(H18*(S4-T4))+(H23*(S5-T5))+(H28*(S6-T6))+(H33*(S7-T7))</f>
        <v>21742684.322380256</v>
      </c>
      <c r="D4" s="3">
        <f>(I18*(S4-T4))+(I23*(S5-T5))+(I28*(S6-T6))+(I33*(S7-T7))</f>
        <v>-4.8729543743545402E-10</v>
      </c>
      <c r="F4" s="1">
        <f>(1/2)*((G18*((S4^2)-(T4^2)))+(G23*((S5^2)-(T5^2)))+(G28*((S6^2)-(T6^2)))+(G33*((S7^2)-(T7^2))))</f>
        <v>1.8189894035458565E-12</v>
      </c>
      <c r="G4" s="2">
        <f>(1/2)*((H18*((S4^2)-(T4^2)))+(H23*((S5^2)-(T5^2)))+(H28*((S6^2)-(T6^2)))+(H33*((S7^2)-(T7^2))))</f>
        <v>0</v>
      </c>
      <c r="H4" s="3">
        <f>(1/2)*((I18*((S4^2)-(T4^2)))+(I23*((S5^2)-(T5^2)))+(I28*((S6^2)-(T6^2)))+(I33*((S7^2)-(T7^2))))</f>
        <v>0</v>
      </c>
      <c r="J4">
        <f>PI()</f>
        <v>3.1415926535897931</v>
      </c>
      <c r="L4">
        <v>1</v>
      </c>
      <c r="M4" s="11">
        <v>140000000000</v>
      </c>
      <c r="N4" s="11">
        <v>38000000000</v>
      </c>
      <c r="O4">
        <v>0.28000000000000003</v>
      </c>
      <c r="P4">
        <f>(O4/M4)*N4</f>
        <v>7.6000000000000012E-2</v>
      </c>
      <c r="Q4" s="11">
        <v>10000000000</v>
      </c>
      <c r="R4">
        <f>(U4*$J$4)/180</f>
        <v>1.5707963267948966</v>
      </c>
      <c r="S4">
        <v>-5.0000000000000001E-4</v>
      </c>
      <c r="T4">
        <v>-1E-3</v>
      </c>
      <c r="U4">
        <v>90</v>
      </c>
    </row>
    <row r="5" spans="1:21" x14ac:dyDescent="0.3">
      <c r="B5" s="4">
        <f>(H18*(S4-T4))+(H23*(S5-T5))+(H28*(S6-T6))+(H33*(S7-T7))</f>
        <v>21742684.322380256</v>
      </c>
      <c r="C5" s="5">
        <f>(H19*(S4-T4))+(H24*(S5-T5))+(H29*(S6-T6))+(H34*(S7-T7))</f>
        <v>225355566.45414424</v>
      </c>
      <c r="D5" s="6">
        <f>(I19*(S4-T4))+(I24*(S5-T5))+(I29*(S6-T6))+(I34*(S7-T7))</f>
        <v>6.8714064395953795E-9</v>
      </c>
      <c r="F5" s="4">
        <f>(1/2)*((H18*((S4^2)-(T4^2)))+(H23*((S5^2)-(T5^2)))+(H28*((S6^2)-(T6^2)))+(H33*((S7^2)-(T7^2))))</f>
        <v>0</v>
      </c>
      <c r="G5" s="5">
        <f>(1/2)*((H19*((S4^2)-(T4^2)))+(H24*((S5^2)-(T5^2)))+(H29*((S6^2)-(T6^2)))+(H34*((S7^2)-(T7^2))))</f>
        <v>0</v>
      </c>
      <c r="H5" s="6">
        <f>(1/2)*((I19*((S4^2)-(T4^2)))+(I24*((S5^2)-(T5^2)))+(I29*((S6^2)-(T6^2)))+(I34*((S7^2)-(T7^2))))</f>
        <v>0</v>
      </c>
      <c r="L5">
        <v>2</v>
      </c>
      <c r="M5" s="11">
        <v>140000000000</v>
      </c>
      <c r="N5" s="11">
        <v>38000000000</v>
      </c>
      <c r="O5">
        <v>0.28000000000000003</v>
      </c>
      <c r="P5">
        <f t="shared" ref="P5:P13" si="0">(O5/M5)*N5</f>
        <v>7.6000000000000012E-2</v>
      </c>
      <c r="Q5" s="11">
        <v>10000000000</v>
      </c>
      <c r="R5">
        <f t="shared" ref="R5:R7" si="1">(U5*$J$4)/180</f>
        <v>0</v>
      </c>
      <c r="S5">
        <v>0</v>
      </c>
      <c r="T5">
        <v>-5.0000000000000001E-4</v>
      </c>
      <c r="U5">
        <v>0</v>
      </c>
    </row>
    <row r="6" spans="1:21" ht="15" thickBot="1" x14ac:dyDescent="0.35">
      <c r="B6" s="7">
        <f>(I18*(S4-T4))+(I23*(S5-T5))+(I28*(S6-T6))+(I33*(S7-T7))</f>
        <v>-4.8729543743545402E-10</v>
      </c>
      <c r="C6" s="8">
        <f>(I19*(S4-T4))+(I24*(S5-T5))+(I29*(S6-T6))+(I34*(S7-T7))</f>
        <v>6.8714064395953795E-9</v>
      </c>
      <c r="D6" s="9">
        <f>(I20*(S4-T4))+(I25*(S5-T5))+(I30*(S6-T6))+(I35*(S7-T7))</f>
        <v>20000000</v>
      </c>
      <c r="F6" s="7">
        <f>(1/2)*((I18*((S4^2)-(T4^2)))+(I23*((S5^2)-(T5^2)))+(I28*((S6^2)-(T6^2)))+(I33*((S7^2)-(T7^2))))</f>
        <v>0</v>
      </c>
      <c r="G6" s="8">
        <f>(1/2)*((I19*((S4^2)-(T4^2)))+(I24*((S5^2)-(T5^2)))+(I29*((S6^2)-(T6^2)))+(I34*((S7^2)-(T7^2))))</f>
        <v>0</v>
      </c>
      <c r="H6" s="9">
        <f>(1/2)*((I20*((S4^2)-(T4^2)))+(I25*((S5^2)-(T5^2)))+(I30*((S6^2)-(T6^2)))+(I35*((S7^2)-(T7^2))))</f>
        <v>0</v>
      </c>
      <c r="L6">
        <v>3</v>
      </c>
      <c r="M6" s="11">
        <v>140000000000</v>
      </c>
      <c r="N6" s="11">
        <v>38000000000</v>
      </c>
      <c r="O6">
        <v>0.28000000000000003</v>
      </c>
      <c r="P6">
        <f t="shared" si="0"/>
        <v>7.6000000000000012E-2</v>
      </c>
      <c r="Q6" s="11">
        <v>10000000000</v>
      </c>
      <c r="R6">
        <f t="shared" si="1"/>
        <v>0</v>
      </c>
      <c r="S6">
        <v>5.0000000000000001E-4</v>
      </c>
      <c r="T6">
        <v>0</v>
      </c>
      <c r="U6">
        <v>0</v>
      </c>
    </row>
    <row r="7" spans="1:21" ht="15" thickBot="1" x14ac:dyDescent="0.35">
      <c r="B7" t="s">
        <v>1</v>
      </c>
      <c r="F7" t="s">
        <v>2</v>
      </c>
      <c r="L7">
        <v>4</v>
      </c>
      <c r="M7" s="11">
        <v>140000000000</v>
      </c>
      <c r="N7" s="11">
        <v>38000000000</v>
      </c>
      <c r="O7">
        <v>0.28000000000000003</v>
      </c>
      <c r="P7">
        <f t="shared" si="0"/>
        <v>7.6000000000000012E-2</v>
      </c>
      <c r="Q7" s="11">
        <v>10000000000</v>
      </c>
      <c r="R7">
        <f t="shared" si="1"/>
        <v>1.5707963267948966</v>
      </c>
      <c r="S7">
        <v>1E-3</v>
      </c>
      <c r="T7">
        <v>5.0000000000000001E-4</v>
      </c>
      <c r="U7">
        <v>90</v>
      </c>
    </row>
    <row r="8" spans="1:21" x14ac:dyDescent="0.3">
      <c r="B8" s="1">
        <f>(1/2)*((G18*((S4^2)-(T4^2)))+(G23*((S5^2)-(T5^2)))+(G28*((S6^2)-(T6^2)))+(G33*((S7^2)-(T7^2))))</f>
        <v>1.8189894035458565E-12</v>
      </c>
      <c r="C8" s="2">
        <f>(1/2)*((H18*((S4^2)-(T4^2)))+(H23*((S5^2)-(T5^2)))+(H28*((S6^2)-(T6^2)))+(H33*((S7^2)-(T7^2))))</f>
        <v>0</v>
      </c>
      <c r="D8" s="3">
        <f>(1/2)*((I18*((S4^2)-(T4^2)))+(I23*((S5^2)-(T5^2)))+(I28*((S6^2)-(T6^2)))+(I33*((S7^2)-(T7^2))))</f>
        <v>0</v>
      </c>
      <c r="F8" s="1">
        <f>(1/3)*((G18*((S4^3)-(T4^3)))+(G23*((S5^3)-(T5^3)))+(G28*((S6^3)-(T6^3)))+(G33*((S7^3)-(T7^3))))</f>
        <v>34.568960819573867</v>
      </c>
      <c r="G8" s="2">
        <f>(1/3)*((H18*((S4^3)-(T4^3)))+(H23*((S5^3)-(T5^3)))+(H28*((S6^3)-(T6^3)))+(H33*((S7^3)-(T7^3))))</f>
        <v>7.2475614407934197</v>
      </c>
      <c r="H8" s="3">
        <f>(1/3)*((I18*((S4^3)-(T4^3)))+(I23*((S5^3)-(T5^3)))+(I28*((S6^3)-(T6^3)))+(I33*((S7^3)-(T7^3))))</f>
        <v>-2.8425567183734816E-16</v>
      </c>
      <c r="L8">
        <v>5</v>
      </c>
      <c r="P8" t="e">
        <f t="shared" si="0"/>
        <v>#DIV/0!</v>
      </c>
      <c r="R8">
        <f t="shared" ref="R8:R13" si="2">(T8*3.14)/180</f>
        <v>0</v>
      </c>
    </row>
    <row r="9" spans="1:21" x14ac:dyDescent="0.3">
      <c r="B9" s="4">
        <f>(1/2)*((H18*((S4^2)-(T4^2)))+(H23*((S5^2)-(T5^2)))+(H28*((S6^2)-(T6^2)))+(H33*((S7^2)-(T7^2))))</f>
        <v>0</v>
      </c>
      <c r="C9" s="5">
        <f>(1/2)*((H19*((S4^2)-(T4^2)))+(H24*((S5^2)-(T5^2)))+(H29*((S6^2)-(T6^2)))+(H34*((S7^2)-(T7^2))))</f>
        <v>0</v>
      </c>
      <c r="D9" s="6">
        <f>(1/2)*((I19*((S4^2)-(T4^2)))+(I24*((S5^2)-(T5^2)))+(I29*((S6^2)-(T6^2)))+(I34*((S7^2)-(T7^2))))</f>
        <v>0</v>
      </c>
      <c r="F9" s="4">
        <f>(1/3)*((H18*((S4^3)-(T4^3)))+(H23*((S5^3)-(T5^3)))+(H28*((S6^3)-(T6^3)))+(H33*((S7^3)-(T7^3))))</f>
        <v>7.2475614407934197</v>
      </c>
      <c r="G9" s="5">
        <f>(1/3)*((H19*((S4^3)-(T4^3)))+(H24*((S5^3)-(T5^3)))+(H29*((S6^3)-(T6^3)))+(H34*((S7^3)-(T7^3))))</f>
        <v>101.1729606016021</v>
      </c>
      <c r="H9" s="6">
        <f>(1/3)*((I19*((S4^3)-(T4^3)))+(I24*((S5^3)-(T5^3)))+(I29*((S6^3)-(T6^3)))+(I34*((S7^3)-(T7^3))))</f>
        <v>4.0083204230973049E-15</v>
      </c>
      <c r="L9">
        <v>6</v>
      </c>
      <c r="P9" t="e">
        <f t="shared" si="0"/>
        <v>#DIV/0!</v>
      </c>
      <c r="R9">
        <f t="shared" si="2"/>
        <v>0</v>
      </c>
    </row>
    <row r="10" spans="1:21" ht="15" thickBot="1" x14ac:dyDescent="0.35">
      <c r="B10" s="7">
        <f>(1/2)*((I18*((S4^2)-(T4^2)))+(I23*((S5^2)-(T5^2)))+(I28*((S6^2)-(T6^2)))+(I33*((S7^2)-(T7^2))))</f>
        <v>0</v>
      </c>
      <c r="C10" s="8">
        <f>(1/2)*((I19*((S4^2)-(T4^2)))+(I24*((S5^2)-(T5^2)))+(I29*((S6^2)-(T6^2)))+(I34*((S7^2)-(T7^2))))</f>
        <v>0</v>
      </c>
      <c r="D10" s="9">
        <f>(1/2)*((I20*((S4^2)-(T4^2)))+(I25*((S5^2)-(T5^2)))+(I30*((S6^2)-(T6^2)))+(I35*((S7^2)-(T7^2))))</f>
        <v>0</v>
      </c>
      <c r="F10" s="7">
        <f>(1/3)*((I18*((S4^3)-(T4^3)))+(I23*((S5^3)-(T5^3)))+(I28*((S6^3)-(T6^3)))+(I33*((S7^3)-(T7^3))))</f>
        <v>-2.8425567183734816E-16</v>
      </c>
      <c r="G10" s="8">
        <f>(1/3)*((I19*((S4^3)-(T4^3)))+(I24*((S5^3)-(T5^3)))+(I29*((S6^3)-(T6^3)))+(I34*((S7^3)-(T7^3))))</f>
        <v>4.0083204230973049E-15</v>
      </c>
      <c r="H10" s="9">
        <f>(1/3)*((I20*((S4^3)-(T4^3)))+(I25*((S5^3)-(T5^3)))+(I30*((S6^3)-(T6^3)))+(I35*((S7^3)-(T7^3))))</f>
        <v>6.6666666666666661</v>
      </c>
      <c r="L10">
        <v>7</v>
      </c>
      <c r="P10" t="e">
        <f t="shared" si="0"/>
        <v>#DIV/0!</v>
      </c>
      <c r="R10">
        <f t="shared" si="2"/>
        <v>0</v>
      </c>
    </row>
    <row r="11" spans="1:21" x14ac:dyDescent="0.3">
      <c r="L11">
        <v>8</v>
      </c>
      <c r="P11" t="e">
        <f t="shared" si="0"/>
        <v>#DIV/0!</v>
      </c>
      <c r="R11">
        <f t="shared" si="2"/>
        <v>0</v>
      </c>
    </row>
    <row r="12" spans="1:21" x14ac:dyDescent="0.3">
      <c r="L12">
        <v>9</v>
      </c>
      <c r="P12" t="e">
        <f t="shared" si="0"/>
        <v>#DIV/0!</v>
      </c>
      <c r="R12">
        <f t="shared" si="2"/>
        <v>0</v>
      </c>
    </row>
    <row r="13" spans="1:21" x14ac:dyDescent="0.3">
      <c r="L13">
        <v>10</v>
      </c>
      <c r="P13" t="e">
        <f t="shared" si="0"/>
        <v>#DIV/0!</v>
      </c>
      <c r="R13">
        <f t="shared" si="2"/>
        <v>0</v>
      </c>
    </row>
    <row r="16" spans="1:21" x14ac:dyDescent="0.3">
      <c r="A16" t="s">
        <v>11</v>
      </c>
    </row>
    <row r="17" spans="1:18" ht="15" thickBot="1" x14ac:dyDescent="0.35">
      <c r="A17">
        <v>1</v>
      </c>
      <c r="B17" t="s">
        <v>9</v>
      </c>
      <c r="G17" t="s">
        <v>10</v>
      </c>
      <c r="L17" t="s">
        <v>20</v>
      </c>
      <c r="P17" t="s">
        <v>21</v>
      </c>
    </row>
    <row r="18" spans="1:18" x14ac:dyDescent="0.3">
      <c r="B18" s="1">
        <f>M4/(1-(O4*P4))</f>
        <v>143043975805.13324</v>
      </c>
      <c r="C18" s="2">
        <f>(O4*N4)/(1-(O4*P4))</f>
        <v>10871342161.190128</v>
      </c>
      <c r="D18" s="3">
        <v>0</v>
      </c>
      <c r="G18" s="1">
        <f>(B18*COS(R4)^4)+(2*(C18+(2*D20))*(SIN(R4)^2)*(COS(R4)^2))+(C19*SIN(R4)^4)</f>
        <v>38826222004.25045</v>
      </c>
      <c r="H18" s="2">
        <f>((B18+C19-(4*D20))*(SIN(R4)^2)*(COS(R4)^2))+(C18*((SIN(R4)^4)+(COS(R4)^4)))</f>
        <v>10871342161.190128</v>
      </c>
      <c r="I18" s="3">
        <f>((B18-C18-(2*D20))*SIN(R4)*(COS(R4)^3))+((C18-C19+(2*D20))*(SIN(R4)^3)*COS(R4))</f>
        <v>-4.8729543743545397E-7</v>
      </c>
      <c r="L18" s="1">
        <f t="array" ref="L18:N20">MINVERSE(B4:D6)</f>
        <v>5.5625883040169903E-9</v>
      </c>
      <c r="M18" s="2">
        <v>-5.3668788134512844E-10</v>
      </c>
      <c r="N18" s="3">
        <v>3.1992122324035075E-25</v>
      </c>
      <c r="P18" s="1" t="e">
        <f t="array" ref="P18:R20">MINVERSE(F4:H6)</f>
        <v>#NUM!</v>
      </c>
      <c r="Q18" s="2" t="e">
        <v>#NUM!</v>
      </c>
      <c r="R18" s="3" t="e">
        <v>#NUM!</v>
      </c>
    </row>
    <row r="19" spans="1:18" x14ac:dyDescent="0.3">
      <c r="B19" s="4">
        <f>(O4*N4)/(1-(O4*P4))</f>
        <v>10871342161.190128</v>
      </c>
      <c r="C19" s="5">
        <f>N4/(1-(O4*P4))</f>
        <v>38826222004.25045</v>
      </c>
      <c r="D19" s="6">
        <v>0</v>
      </c>
      <c r="G19" s="4">
        <f>((B18+C19-(4*D20))*(SIN(R4)^2)*(COS(R4)^2))+(C18*((SIN(R4)^4)+(COS(R4)^4)))</f>
        <v>10871342161.190128</v>
      </c>
      <c r="H19" s="5">
        <f>(B18*SIN(R4)^4)+(2*(C18+(2*(D20))*(SIN(R4)^2)*(COS(R4)^2)))+(C19*(COS(R4)^4))</f>
        <v>164786660127.51349</v>
      </c>
      <c r="I19" s="6">
        <f>((B18-C18-(2*D20))*(SIN(R4)^3)*COS(R4))+((C18-C19+(2*D20))*SIN(R4)*(COS(R4)^3))</f>
        <v>6.8714064395953796E-6</v>
      </c>
      <c r="L19" s="4">
        <v>-5.3668788134512854E-10</v>
      </c>
      <c r="M19" s="5">
        <v>4.489212541326733E-9</v>
      </c>
      <c r="N19" s="6">
        <v>-1.5554364760545613E-24</v>
      </c>
      <c r="P19" s="4" t="e">
        <v>#NUM!</v>
      </c>
      <c r="Q19" s="5" t="e">
        <v>#NUM!</v>
      </c>
      <c r="R19" s="6" t="e">
        <v>#NUM!</v>
      </c>
    </row>
    <row r="20" spans="1:18" ht="15" thickBot="1" x14ac:dyDescent="0.35">
      <c r="B20" s="7">
        <v>0</v>
      </c>
      <c r="C20" s="8">
        <v>0</v>
      </c>
      <c r="D20" s="9">
        <f>Q4</f>
        <v>10000000000</v>
      </c>
      <c r="G20" s="7">
        <f>((B18-C18-(2*D20))*SIN(R4)*(COS(R4)^3))+((C18-C19+(2*D20))*(SIN(R4)^3)*COS(R4))</f>
        <v>-4.8729543743545397E-7</v>
      </c>
      <c r="H20" s="8">
        <f>((B18-C18-(2*D20))*(SIN(R4)^3)*COS(R4))+((C18-C19+(2*D20))*SIN(R4)*(COS(R4)^3))</f>
        <v>6.8714064395953796E-6</v>
      </c>
      <c r="I20" s="9">
        <f>((B18+C19-(2*C18)-(2*D20))*(SIN(R4)^2)*(COS(R4)^2))+(D20*((SIN(R4)^4)+(COS(R4)^4)))</f>
        <v>10000000000</v>
      </c>
      <c r="L20" s="7">
        <v>3.199212232403508E-25</v>
      </c>
      <c r="M20" s="8">
        <v>-1.5554364760545615E-24</v>
      </c>
      <c r="N20" s="9">
        <v>4.9999999999999998E-8</v>
      </c>
      <c r="P20" s="7" t="e">
        <v>#NUM!</v>
      </c>
      <c r="Q20" s="8" t="e">
        <v>#NUM!</v>
      </c>
      <c r="R20" s="9" t="e">
        <v>#NUM!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>
        <f>M5/(1-(O5*P5))</f>
        <v>143043975805.13324</v>
      </c>
      <c r="C23" s="2">
        <f>(O5*N5)/(1-(O5*P5))</f>
        <v>10871342161.190128</v>
      </c>
      <c r="D23" s="3">
        <v>0</v>
      </c>
      <c r="G23" s="1">
        <f>(B23*COS(R5)^4)+(2*(C23+(2*D25))*(SIN(R5)^2)*(COS(R5)^2))+(C24*SIN(R5)^4)</f>
        <v>143043975805.13324</v>
      </c>
      <c r="H23" s="2">
        <f>((B23+C24-(4*D25))*(SIN(R5)^2)*(COS(R5)^2))+(C23*((SIN(R5)^4)+(COS(R5)^4)))</f>
        <v>10871342161.190128</v>
      </c>
      <c r="I23" s="3">
        <f>((B23-C23-(2*D25))*SIN(R5)*(COS(R5)^3))+((C23-C24+(2*D25))*(SIN(R5)^3)*COS(R5))</f>
        <v>0</v>
      </c>
      <c r="L23" s="1" t="e">
        <f t="array" ref="L23:N25">MINVERSE(B8:D10)</f>
        <v>#NUM!</v>
      </c>
      <c r="M23" s="2" t="e">
        <v>#NUM!</v>
      </c>
      <c r="N23" s="3" t="e">
        <v>#NUM!</v>
      </c>
      <c r="P23" s="1">
        <f t="array" ref="P23:R25">MINVERSE(F8:H10)</f>
        <v>2.9368766113387741E-2</v>
      </c>
      <c r="Q23" s="2">
        <v>-2.1038421291755581E-3</v>
      </c>
      <c r="R23" s="3">
        <v>2.5171667573912835E-18</v>
      </c>
    </row>
    <row r="24" spans="1:18" x14ac:dyDescent="0.3">
      <c r="B24" s="4">
        <f>(O5*N5)/(1-(O5*P5))</f>
        <v>10871342161.190128</v>
      </c>
      <c r="C24" s="5">
        <f>N5/(1-(O5*P5))</f>
        <v>38826222004.25045</v>
      </c>
      <c r="D24" s="6">
        <v>0</v>
      </c>
      <c r="G24" s="4">
        <f>((B23+C24-(4*D25))*(SIN(R5)^2)*(COS(R5)^2))+(C23*((SIN(R5)^4)+(COS(R5)^4)))</f>
        <v>10871342161.190128</v>
      </c>
      <c r="H24" s="5">
        <f>(B23*SIN(R5)^4)+(2*(C23+(2*(D25))*(SIN(R5)^2)*(COS(R5)^2)))+(C24*(COS(R5)^4))</f>
        <v>60568906326.630707</v>
      </c>
      <c r="I24" s="6">
        <f>((B23-C23-(2*D25))*(SIN(R5)^3)*COS(R5))+((C23-C24+(2*D25))*SIN(R5)*(COS(R5)^3))</f>
        <v>0</v>
      </c>
      <c r="L24" s="4" t="e">
        <v>#NUM!</v>
      </c>
      <c r="M24" s="5" t="e">
        <v>#NUM!</v>
      </c>
      <c r="N24" s="6" t="e">
        <v>#NUM!</v>
      </c>
      <c r="P24" s="4">
        <v>-2.1038421291755581E-3</v>
      </c>
      <c r="Q24" s="5">
        <v>1.0034773313501838E-2</v>
      </c>
      <c r="R24" s="6">
        <v>-6.1230923807294627E-18</v>
      </c>
    </row>
    <row r="25" spans="1:18" ht="15" thickBot="1" x14ac:dyDescent="0.35">
      <c r="B25" s="7">
        <v>0</v>
      </c>
      <c r="C25" s="8">
        <v>0</v>
      </c>
      <c r="D25" s="9">
        <f>Q5</f>
        <v>10000000000</v>
      </c>
      <c r="G25" s="7">
        <f>((B23-C23-(2*D25))*SIN(R5)*(COS(R5)^3))+((C23-C24+(2*D25))*(SIN(R5)^3)*COS(R5))</f>
        <v>0</v>
      </c>
      <c r="H25" s="8">
        <f>((B23-C23-(2*D25))*(SIN(R5)^3)*COS(R5))+((C23-C24+(2*D25))*SIN(R5)*(COS(R5)^3))</f>
        <v>0</v>
      </c>
      <c r="I25" s="9">
        <f>((B23+C24-(2*C23)-(2*D25))*(SIN(R5)^2)*(COS(R5)^2))+(D25*((SIN(R5)^4)+(COS(R5)^4)))</f>
        <v>10000000000</v>
      </c>
      <c r="L25" s="7" t="e">
        <v>#NUM!</v>
      </c>
      <c r="M25" s="8" t="e">
        <v>#NUM!</v>
      </c>
      <c r="N25" s="9" t="e">
        <v>#NUM!</v>
      </c>
      <c r="P25" s="7">
        <v>2.5171667573912831E-18</v>
      </c>
      <c r="Q25" s="8">
        <v>-6.1230923807294627E-18</v>
      </c>
      <c r="R25" s="9">
        <v>0.15000000000000002</v>
      </c>
    </row>
    <row r="27" spans="1:18" ht="15" thickBot="1" x14ac:dyDescent="0.35">
      <c r="A27">
        <v>3</v>
      </c>
    </row>
    <row r="28" spans="1:18" x14ac:dyDescent="0.3">
      <c r="B28" s="1">
        <f>M6/(1-(O6*P6))</f>
        <v>143043975805.13324</v>
      </c>
      <c r="C28" s="2">
        <f>(O6*N6)/(1-(O6*P6))</f>
        <v>10871342161.190128</v>
      </c>
      <c r="D28" s="3">
        <v>0</v>
      </c>
      <c r="G28" s="1">
        <f>(B28*COS(R6)^4)+(2*(C28+(2*D30))*(SIN(R6)^2)*(COS(R6)^2))+(C29*SIN(R6)^4)</f>
        <v>143043975805.13324</v>
      </c>
      <c r="H28" s="2">
        <f>((B28+C29-(4*D30))*(SIN(R6)^2)*(COS(R6)^2))+(C28*((SIN(R6)^4)+(COS(R6)^4)))</f>
        <v>10871342161.190128</v>
      </c>
      <c r="I28" s="3">
        <f>((B28-C28-(2*D30))*SIN(R6)*(COS(R6)^3))+((C28-C29+(2*D30))*(SIN(R6)^3)*COS(R6))</f>
        <v>0</v>
      </c>
    </row>
    <row r="29" spans="1:18" x14ac:dyDescent="0.3">
      <c r="B29" s="4">
        <f>(O6*N6)/(1-(O6*P6))</f>
        <v>10871342161.190128</v>
      </c>
      <c r="C29" s="5">
        <f>N6/(1-(O6*P6))</f>
        <v>38826222004.25045</v>
      </c>
      <c r="D29" s="6">
        <v>0</v>
      </c>
      <c r="G29" s="4">
        <f>((B28+C29-(4*D30))*(SIN(R6)^2)*(COS(R6)^2))+(C28*((SIN(R6)^4)+(COS(R6)^4)))</f>
        <v>10871342161.190128</v>
      </c>
      <c r="H29" s="5">
        <f>(B28*SIN(R6)^4)+(2*(C28+(2*(D30))*(SIN(R6)^2)*(COS(R6)^2)))+(C29*(COS(R6)^4))</f>
        <v>60568906326.630707</v>
      </c>
      <c r="I29" s="6">
        <f>((B28-C28-(2*D30))*(SIN(R6)^3)*COS(R6))+((C28-C29+(2*D30))*SIN(R6)*(COS(R6)^3))</f>
        <v>0</v>
      </c>
    </row>
    <row r="30" spans="1:18" ht="15" thickBot="1" x14ac:dyDescent="0.35">
      <c r="B30" s="7">
        <v>0</v>
      </c>
      <c r="C30" s="8">
        <v>0</v>
      </c>
      <c r="D30" s="9">
        <f>Q6</f>
        <v>10000000000</v>
      </c>
      <c r="G30" s="7">
        <f>((B28-C28-(2*D30))*SIN(R6)*(COS(R6)^3))+((C28-C29+(2*D30))*(SIN(R6)^3)*COS(R6))</f>
        <v>0</v>
      </c>
      <c r="H30" s="8">
        <f>((B28-C28-(2*D30))*(SIN(R6)^3)*COS(R6))+((C28-C29+(2*D30))*SIN(R6)*(COS(R6)^3))</f>
        <v>0</v>
      </c>
      <c r="I30" s="9">
        <f>((B28+C29-(2*C28)-(2*D30))*(SIN(R6)^2)*(COS(R6)^2))+(D30*((SIN(R6)^4)+(COS(R6)^4)))</f>
        <v>10000000000</v>
      </c>
    </row>
    <row r="32" spans="1:18" ht="15" thickBot="1" x14ac:dyDescent="0.35">
      <c r="A32">
        <v>4</v>
      </c>
    </row>
    <row r="33" spans="1:9" x14ac:dyDescent="0.3">
      <c r="B33" s="1">
        <f>M7/(1-(O7*P7))</f>
        <v>143043975805.13324</v>
      </c>
      <c r="C33" s="2">
        <f>(O7*N7)/(1-(O7*P7))</f>
        <v>10871342161.190128</v>
      </c>
      <c r="D33" s="3">
        <v>0</v>
      </c>
      <c r="G33" s="1">
        <f>(B33*COS(R7)^4)+(2*(C33+(2*D35))*(SIN(R7)^2)*(COS(R7)^2))+(C34*SIN(R7)^4)</f>
        <v>38826222004.25045</v>
      </c>
      <c r="H33" s="2">
        <f>((B33+C34-(4*D35))*(SIN(R7)^2)*(COS(R7)^2))+(C33*((SIN(R7)^4)+(COS(R7)^4)))</f>
        <v>10871342161.190128</v>
      </c>
      <c r="I33" s="3">
        <f>((B33-C33-(2*D35))*SIN(R7)*(COS(R7)^3))+((C33-C34+(2*D35))*(SIN(R7)^3)*COS(R7))</f>
        <v>-4.8729543743545397E-7</v>
      </c>
    </row>
    <row r="34" spans="1:9" x14ac:dyDescent="0.3">
      <c r="B34" s="4">
        <f>(O7*N7)/(1-(O7*P7))</f>
        <v>10871342161.190128</v>
      </c>
      <c r="C34" s="5">
        <f>N7/(1-(O7*P7))</f>
        <v>38826222004.25045</v>
      </c>
      <c r="D34" s="6">
        <v>0</v>
      </c>
      <c r="G34" s="4">
        <f>((B33+C34-(4*D35))*(SIN(R7)^2)*(COS(R7)^2))+(C33*((SIN(R7)^4)+(COS(R7)^4)))</f>
        <v>10871342161.190128</v>
      </c>
      <c r="H34" s="5">
        <f>(B33*SIN(R7)^4)+(2*(C33+(2*(D35))*(SIN(R7)^2)*(COS(R7)^2)))+(C34*(COS(R7)^4))</f>
        <v>164786660127.51349</v>
      </c>
      <c r="I34" s="6">
        <f>((B33-C33-(2*D35))*(SIN(R7)^3)*COS(R7))+((C33-C34+(2*D35))*SIN(R7)*(COS(R7)^3))</f>
        <v>6.8714064395953796E-6</v>
      </c>
    </row>
    <row r="35" spans="1:9" ht="15" thickBot="1" x14ac:dyDescent="0.35">
      <c r="B35" s="7">
        <v>0</v>
      </c>
      <c r="C35" s="8">
        <v>0</v>
      </c>
      <c r="D35" s="9">
        <f>Q7</f>
        <v>10000000000</v>
      </c>
      <c r="G35" s="7">
        <f>((B33-C33-(2*D35))*SIN(R7)*(COS(R7)^3))+((C33-C34+(2*D35))*(SIN(R7)^3)*COS(R7))</f>
        <v>-4.8729543743545397E-7</v>
      </c>
      <c r="H35" s="8">
        <f>((B33-C33-(2*D35))*(SIN(R7)^3)*COS(R7))+((C33-C34+(2*D35))*SIN(R7)*(COS(R7)^3))</f>
        <v>6.8714064395953796E-6</v>
      </c>
      <c r="I35" s="9">
        <f>((B33+C34-(2*C33)-(2*D35))*(SIN(R7)^2)*(COS(R7)^2))+(D35*((SIN(R7)^4)+(COS(R7)^4)))</f>
        <v>10000000000</v>
      </c>
    </row>
    <row r="37" spans="1:9" ht="15" thickBot="1" x14ac:dyDescent="0.35">
      <c r="A37">
        <v>5</v>
      </c>
    </row>
    <row r="38" spans="1:9" x14ac:dyDescent="0.3">
      <c r="B38" s="1" t="e">
        <f>M8/(1-(O8*P8))</f>
        <v>#DIV/0!</v>
      </c>
      <c r="C38" s="2" t="e">
        <f>(O8*N8)/(1-(O8*P8))</f>
        <v>#DIV/0!</v>
      </c>
      <c r="D38" s="3">
        <v>0</v>
      </c>
      <c r="G38" s="1" t="e">
        <f>(B38*COS(R8)^4)+(2*(C38+(2*D40))*(SIN(R8)^2)*(COS(R8)^2))+(C39*SIN(R8)^4)</f>
        <v>#DIV/0!</v>
      </c>
      <c r="H38" s="2" t="e">
        <f>((B38+C39-(4*D40))*(SIN(R8)^2)*(COS(R8)^2))+(C38*((SIN(R8)^4)+(COS(R8)^4)))</f>
        <v>#DIV/0!</v>
      </c>
      <c r="I38" s="3" t="e">
        <f>((B38-C38-(2*D40))*SIN(R8)*(COS(R8)^3))+((C38-C39+(2*D40))*(SIN(R8)^3)*COS(R8))</f>
        <v>#DIV/0!</v>
      </c>
    </row>
    <row r="39" spans="1:9" x14ac:dyDescent="0.3">
      <c r="B39" s="4" t="e">
        <f>(O8*N8)/(1-(O8*P8))</f>
        <v>#DIV/0!</v>
      </c>
      <c r="C39" s="5" t="e">
        <f>N8/(1-(O8*P8))</f>
        <v>#DIV/0!</v>
      </c>
      <c r="D39" s="6">
        <v>0</v>
      </c>
      <c r="G39" s="4" t="e">
        <f>((B38+C39-(4*D40))*(SIN(R8)^2)*(COS(R8)^2))+(C38*((SIN(R8)^4)+(COS(R8)^4)))</f>
        <v>#DIV/0!</v>
      </c>
      <c r="H39" s="5" t="e">
        <f>(B38*SIN(R8)^4)+(2*(C38+(2*(D40))*(SIN(R8)^2)*(COS(R8)^2)))+(C39*(COS(R8)^4))</f>
        <v>#DIV/0!</v>
      </c>
      <c r="I39" s="6" t="e">
        <f>((B38-C38-(2*D40))*(SIN(R8)^3)*COS(R8))+((C38-C39+(2*D40))*SIN(R8)*(COS(R8)^3))</f>
        <v>#DIV/0!</v>
      </c>
    </row>
    <row r="40" spans="1:9" ht="15" thickBot="1" x14ac:dyDescent="0.35">
      <c r="B40" s="7">
        <v>0</v>
      </c>
      <c r="C40" s="8">
        <v>0</v>
      </c>
      <c r="D40" s="9">
        <f>Q8</f>
        <v>0</v>
      </c>
      <c r="G40" s="7" t="e">
        <f>((B38-C38-(2*D40))*SIN(R8)*(COS(R8)^3))+((C38-C39+(2*D40))*(SIN(R8)^3)*COS(R8))</f>
        <v>#DIV/0!</v>
      </c>
      <c r="H40" s="8" t="e">
        <f>((B38-C38-(2*D40))*(SIN(R8)^3)*COS(R8))+((C38-C39+(2*D40))*SIN(R8)*(COS(R8)^3))</f>
        <v>#DIV/0!</v>
      </c>
      <c r="I40" s="9" t="e">
        <f>((B38+C39-(2*C38)-(2*D40))*(SIN(R8)^2)*(COS(R8)^2))+(D40*((SIN(R8)^4)+(COS(R8)^4)))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6555-4599-465B-AE20-2413F8DB85C5}">
  <dimension ref="A3:U40"/>
  <sheetViews>
    <sheetView workbookViewId="0">
      <selection activeCell="V5" sqref="V5"/>
    </sheetView>
  </sheetViews>
  <sheetFormatPr defaultRowHeight="14.4" x14ac:dyDescent="0.3"/>
  <sheetData>
    <row r="3" spans="1:21" ht="15" thickBot="1" x14ac:dyDescent="0.35">
      <c r="B3" t="s">
        <v>0</v>
      </c>
      <c r="F3" t="s">
        <v>1</v>
      </c>
      <c r="L3" t="s">
        <v>7</v>
      </c>
      <c r="M3" t="s">
        <v>3</v>
      </c>
      <c r="N3" t="s">
        <v>4</v>
      </c>
      <c r="O3" t="s">
        <v>5</v>
      </c>
      <c r="P3" t="s">
        <v>6</v>
      </c>
      <c r="Q3" t="s">
        <v>8</v>
      </c>
      <c r="R3" t="s">
        <v>14</v>
      </c>
      <c r="S3" t="s">
        <v>18</v>
      </c>
      <c r="T3" t="s">
        <v>19</v>
      </c>
      <c r="U3" t="s">
        <v>23</v>
      </c>
    </row>
    <row r="4" spans="1:21" x14ac:dyDescent="0.3">
      <c r="B4" s="1">
        <f>(G18*(S4-T4))+(G23*(S5-T5))</f>
        <v>326404363.245772</v>
      </c>
      <c r="C4" s="2">
        <f>(H18*(S4-T4))+(H23*(S5-T5))</f>
        <v>8495983.2006076947</v>
      </c>
      <c r="D4" s="3">
        <f>(I18*(S4-T4))+(I23*(S5-T5))</f>
        <v>0</v>
      </c>
      <c r="F4" s="1">
        <f>(1/2)*((G18*((S4^2)-(T4^2)))+(G23*((S5^2)-(T5^2))))</f>
        <v>0</v>
      </c>
      <c r="G4" s="2">
        <f>(1/2)*((H18*((S4^2)-(T4^2)))+(H23*((S5^2)-(T5^2))))</f>
        <v>0</v>
      </c>
      <c r="H4" s="3">
        <f>(1/2)*((I18*((S4^2)-(T4^2)))+(I23*((S5^2)-(T5^2))))</f>
        <v>0</v>
      </c>
      <c r="J4">
        <f>PI()</f>
        <v>3.1415926535897931</v>
      </c>
      <c r="L4">
        <v>1</v>
      </c>
      <c r="M4" s="11">
        <v>162000000000</v>
      </c>
      <c r="N4" s="11">
        <v>14900000000</v>
      </c>
      <c r="O4">
        <v>0.28299999999999997</v>
      </c>
      <c r="P4">
        <f>(O4/M4)*N4</f>
        <v>2.602901234567901E-2</v>
      </c>
      <c r="Q4" s="11">
        <v>5700000000</v>
      </c>
      <c r="R4">
        <f>(U4*$J$4)/180</f>
        <v>0</v>
      </c>
      <c r="S4">
        <v>0</v>
      </c>
      <c r="T4">
        <v>-1E-3</v>
      </c>
    </row>
    <row r="5" spans="1:21" x14ac:dyDescent="0.3">
      <c r="B5" s="4">
        <f>(H18*(S4-T4))+(H23*(S5-T5))</f>
        <v>8495983.2006076947</v>
      </c>
      <c r="C5">
        <f>(H19*(S4-T4))+(H24*(S5-T5))</f>
        <v>47013108.452832691</v>
      </c>
      <c r="D5" s="6">
        <f>(I19*(S4-T4))+(I24*(S5-T5))</f>
        <v>0</v>
      </c>
      <c r="F5" s="4">
        <f>(1/2)*((H18*((S4^2)-(T4^2)))+(H23*((S5^2)-(T5^2))))</f>
        <v>0</v>
      </c>
      <c r="G5">
        <f>(1/2)*((H19*((S4^2)-(T4^2)))+(H24*((S5^2)-(T5^2))))</f>
        <v>0</v>
      </c>
      <c r="H5" s="6">
        <f>(1/2)*((I19*((S4^2)-(T4^2)))+(I24*((S5^2)-(T5^2))))</f>
        <v>0</v>
      </c>
      <c r="L5">
        <v>2</v>
      </c>
      <c r="M5" s="11">
        <v>162000000000</v>
      </c>
      <c r="N5" s="11">
        <v>14900000000</v>
      </c>
      <c r="O5">
        <v>0.28299999999999997</v>
      </c>
      <c r="P5">
        <f t="shared" ref="P5:P13" si="0">(O5/M5)*N5</f>
        <v>2.602901234567901E-2</v>
      </c>
      <c r="Q5" s="11">
        <v>5700000000</v>
      </c>
      <c r="R5">
        <f t="shared" ref="R5:R7" si="1">(U5*$J$4)/180</f>
        <v>0</v>
      </c>
      <c r="S5">
        <v>1E-3</v>
      </c>
      <c r="T5">
        <v>0</v>
      </c>
    </row>
    <row r="6" spans="1:21" ht="15" thickBot="1" x14ac:dyDescent="0.35">
      <c r="B6" s="7">
        <f>(I18*(S4-T4))+(I23*(S5-T5))</f>
        <v>0</v>
      </c>
      <c r="C6" s="8">
        <f>(I19*(S4-T4))+(I24*(S5-T5))</f>
        <v>0</v>
      </c>
      <c r="D6" s="9">
        <f>(I20*(S4-T4))+(I25*(S5-T5))</f>
        <v>11400000</v>
      </c>
      <c r="F6" s="7">
        <f>(1/2)*((I18*((S4^2)-(T4^2)))+(I23*((S5^2)-(T5^2))))</f>
        <v>0</v>
      </c>
      <c r="G6" s="8">
        <f>(1/2)*((I19*((S4^2)-(T4^2)))+(I24*((S5^2)-(T5^2))))</f>
        <v>0</v>
      </c>
      <c r="H6" s="9">
        <f>(1/2)*((I20*((S4^2)-(T4^2)))+(I25*((S5^2)-(T5^2))))</f>
        <v>0</v>
      </c>
      <c r="L6">
        <v>3</v>
      </c>
      <c r="M6" s="11"/>
      <c r="N6" s="11"/>
      <c r="P6" t="e">
        <f t="shared" si="0"/>
        <v>#DIV/0!</v>
      </c>
      <c r="Q6" s="11"/>
      <c r="R6">
        <f t="shared" si="1"/>
        <v>0</v>
      </c>
    </row>
    <row r="7" spans="1:21" ht="15" thickBot="1" x14ac:dyDescent="0.35">
      <c r="B7" t="s">
        <v>1</v>
      </c>
      <c r="F7" t="s">
        <v>2</v>
      </c>
      <c r="L7">
        <v>4</v>
      </c>
      <c r="M7" s="11"/>
      <c r="N7" s="11"/>
      <c r="P7" t="e">
        <f t="shared" si="0"/>
        <v>#DIV/0!</v>
      </c>
      <c r="Q7" s="11"/>
      <c r="R7">
        <f t="shared" si="1"/>
        <v>0</v>
      </c>
    </row>
    <row r="8" spans="1:21" x14ac:dyDescent="0.3">
      <c r="B8" s="1">
        <f t="shared" ref="B8:D10" si="2">F4</f>
        <v>0</v>
      </c>
      <c r="C8" s="2">
        <f t="shared" si="2"/>
        <v>0</v>
      </c>
      <c r="D8" s="3">
        <f t="shared" si="2"/>
        <v>0</v>
      </c>
      <c r="F8" s="1">
        <f>(1/3)*((G18*((S4^3)-(T4^3)))+(G23*((S5^3)-(T5^3))))</f>
        <v>108.80145441525733</v>
      </c>
      <c r="G8" s="2">
        <f>(1/3)*((H18*((S4^3)-(T4^3)))+(H23*((S5^3)-(T5^3))))</f>
        <v>2.8319944002025648</v>
      </c>
      <c r="H8" s="3">
        <f>(1/3)*((I18*((S4^3)-(T4^3)))+(I23*((S5^3)-(T5^3))))</f>
        <v>0</v>
      </c>
      <c r="L8">
        <v>5</v>
      </c>
      <c r="P8" t="e">
        <f t="shared" si="0"/>
        <v>#DIV/0!</v>
      </c>
      <c r="R8">
        <f t="shared" ref="R8:R13" si="3">(T8*3.14)/180</f>
        <v>0</v>
      </c>
    </row>
    <row r="9" spans="1:21" x14ac:dyDescent="0.3">
      <c r="B9" s="4">
        <f t="shared" si="2"/>
        <v>0</v>
      </c>
      <c r="C9">
        <f t="shared" si="2"/>
        <v>0</v>
      </c>
      <c r="D9" s="6">
        <f t="shared" si="2"/>
        <v>0</v>
      </c>
      <c r="F9" s="4">
        <f>(1/3)*((H18*((S4^3)-(T4^3)))+(H23*((S5^3)-(T5^3))))</f>
        <v>2.8319944002025648</v>
      </c>
      <c r="G9">
        <f>(1/3)*((H19*((S4^3)-(T4^3)))+(H24*((S5^3)-(T5^3))))</f>
        <v>15.671036150944229</v>
      </c>
      <c r="H9" s="6">
        <f>(1/3)*((I19*((S4^3)-(T4^3)))+(I24*((S5^3)-(T5^3))))</f>
        <v>0</v>
      </c>
      <c r="L9">
        <v>6</v>
      </c>
      <c r="P9" t="e">
        <f t="shared" si="0"/>
        <v>#DIV/0!</v>
      </c>
      <c r="R9">
        <f t="shared" si="3"/>
        <v>0</v>
      </c>
    </row>
    <row r="10" spans="1:21" ht="15" thickBot="1" x14ac:dyDescent="0.35">
      <c r="B10" s="7">
        <f t="shared" si="2"/>
        <v>0</v>
      </c>
      <c r="C10" s="8">
        <f t="shared" si="2"/>
        <v>0</v>
      </c>
      <c r="D10" s="9">
        <f t="shared" si="2"/>
        <v>0</v>
      </c>
      <c r="F10" s="7">
        <f>(1/3)*((I18*((S4^3)-(T4^3)))+(I23*((S5^3)-(T5^3))))</f>
        <v>0</v>
      </c>
      <c r="G10" s="8">
        <f>(1/3)*((I19*((S4^3)-(T4^3)))+(I24*((S5^3)-(T5^3))))</f>
        <v>0</v>
      </c>
      <c r="H10" s="9">
        <f>(1/3)*((I20*((S4^3)-(T4^3)))+(I25*((S5^3)-(T5^3))))</f>
        <v>3.8</v>
      </c>
      <c r="L10">
        <v>7</v>
      </c>
      <c r="P10" t="e">
        <f t="shared" si="0"/>
        <v>#DIV/0!</v>
      </c>
      <c r="R10">
        <f t="shared" si="3"/>
        <v>0</v>
      </c>
    </row>
    <row r="11" spans="1:21" x14ac:dyDescent="0.3">
      <c r="L11">
        <v>8</v>
      </c>
      <c r="P11" t="e">
        <f t="shared" si="0"/>
        <v>#DIV/0!</v>
      </c>
      <c r="R11">
        <f t="shared" si="3"/>
        <v>0</v>
      </c>
    </row>
    <row r="12" spans="1:21" x14ac:dyDescent="0.3">
      <c r="L12">
        <v>9</v>
      </c>
      <c r="P12" t="e">
        <f t="shared" si="0"/>
        <v>#DIV/0!</v>
      </c>
      <c r="R12">
        <f t="shared" si="3"/>
        <v>0</v>
      </c>
    </row>
    <row r="13" spans="1:21" x14ac:dyDescent="0.3">
      <c r="L13">
        <v>10</v>
      </c>
      <c r="P13" t="e">
        <f t="shared" si="0"/>
        <v>#DIV/0!</v>
      </c>
      <c r="R13">
        <f t="shared" si="3"/>
        <v>0</v>
      </c>
    </row>
    <row r="16" spans="1:21" x14ac:dyDescent="0.3">
      <c r="A16" t="s">
        <v>11</v>
      </c>
    </row>
    <row r="17" spans="1:18" ht="15" thickBot="1" x14ac:dyDescent="0.35">
      <c r="A17">
        <v>1</v>
      </c>
      <c r="B17" t="s">
        <v>9</v>
      </c>
      <c r="G17" t="s">
        <v>10</v>
      </c>
      <c r="L17" t="s">
        <v>20</v>
      </c>
      <c r="P17" t="s">
        <v>21</v>
      </c>
    </row>
    <row r="18" spans="1:18" x14ac:dyDescent="0.3">
      <c r="B18" s="1">
        <f>M4/(1-(O4*P4))</f>
        <v>163202181622.88599</v>
      </c>
      <c r="C18" s="2">
        <f>(O4*N4)/(1-(O4*P4))</f>
        <v>4247991600.3038473</v>
      </c>
      <c r="D18" s="3">
        <v>0</v>
      </c>
      <c r="G18" s="1">
        <f>(B18*COS(R4)^4)+(2*(C18+(2*D20))*(SIN(R4)^2)*(COS(R4)^2))+(C19*SIN(R4)^4)</f>
        <v>163202181622.88599</v>
      </c>
      <c r="H18" s="2">
        <f>((B18+C19-(4*D20))*(SIN(R4)^2)*(COS(R4)^2))+(C18*((SIN(R4)^4)+(COS(R4)^4)))</f>
        <v>4247991600.3038473</v>
      </c>
      <c r="I18" s="3">
        <f>((B18-C18-(2*D20))*SIN(R4)*(COS(R4)^3))+((C18-C19+(2*D20))*(SIN(R4)^3)*COS(R4))</f>
        <v>0</v>
      </c>
      <c r="L18" s="1">
        <f t="array" ref="L18:N20">MINVERSE(B4:D6)</f>
        <v>3.0781637193514512E-9</v>
      </c>
      <c r="M18" s="2">
        <v>-5.5627096588535172E-10</v>
      </c>
      <c r="N18" s="3">
        <v>0</v>
      </c>
      <c r="P18" s="1" t="e">
        <f t="array" ref="P18:R20">MINVERSE(F4:H6)</f>
        <v>#NUM!</v>
      </c>
      <c r="Q18" s="2" t="e">
        <v>#NUM!</v>
      </c>
      <c r="R18" s="3" t="e">
        <v>#NUM!</v>
      </c>
    </row>
    <row r="19" spans="1:18" x14ac:dyDescent="0.3">
      <c r="B19" s="4">
        <f>(O4*N4)/(1-(O4*P4))</f>
        <v>4247991600.3038473</v>
      </c>
      <c r="C19">
        <f>N4/(1-(O4*P4))</f>
        <v>15010571025.808649</v>
      </c>
      <c r="D19" s="6">
        <v>0</v>
      </c>
      <c r="G19" s="4">
        <f>((B18+C19-(4*D20))*(SIN(R4)^2)*(COS(R4)^2))+(C18*((SIN(R4)^4)+(COS(R4)^4)))</f>
        <v>4247991600.3038473</v>
      </c>
      <c r="H19">
        <f>(B18*SIN(R4)^4)+(2*(C18+(2*(D20))*(SIN(R4)^2)*(COS(R4)^2)))+(C19*(COS(R4)^4))</f>
        <v>23506554226.416344</v>
      </c>
      <c r="I19" s="6">
        <f>((B18-C18-(2*D20))*(SIN(R4)^3)*COS(R4))+((C18-C19+(2*D20))*SIN(R4)*(COS(R4)^3))</f>
        <v>0</v>
      </c>
      <c r="L19" s="4">
        <v>-5.5627096588535161E-10</v>
      </c>
      <c r="M19">
        <v>2.1371189905240351E-8</v>
      </c>
      <c r="N19" s="6">
        <v>0</v>
      </c>
      <c r="P19" s="4" t="e">
        <v>#NUM!</v>
      </c>
      <c r="Q19" t="e">
        <v>#NUM!</v>
      </c>
      <c r="R19" s="6" t="e">
        <v>#NUM!</v>
      </c>
    </row>
    <row r="20" spans="1:18" ht="15" thickBot="1" x14ac:dyDescent="0.35">
      <c r="B20" s="7">
        <v>0</v>
      </c>
      <c r="C20" s="8">
        <v>0</v>
      </c>
      <c r="D20" s="9">
        <f>Q4</f>
        <v>5700000000</v>
      </c>
      <c r="G20" s="7">
        <f>((B18-C18-(2*D20))*SIN(R4)*(COS(R4)^3))+((C18-C19+(2*D20))*(SIN(R4)^3)*COS(R4))</f>
        <v>0</v>
      </c>
      <c r="H20" s="8">
        <f>((B18-C18-(2*D20))*(SIN(R4)^3)*COS(R4))+((C18-C19+(2*D20))*SIN(R4)*(COS(R4)^3))</f>
        <v>0</v>
      </c>
      <c r="I20" s="9">
        <f>((B18+C19-(2*C18)-(2*D20))*(SIN(R4)^2)*(COS(R4)^2))+(D20*((SIN(R4)^4)+(COS(R4)^4)))</f>
        <v>5700000000</v>
      </c>
      <c r="L20" s="7">
        <v>0</v>
      </c>
      <c r="M20" s="8">
        <v>0</v>
      </c>
      <c r="N20" s="9">
        <v>8.771929824561404E-8</v>
      </c>
      <c r="P20" s="7" t="e">
        <v>#NUM!</v>
      </c>
      <c r="Q20" s="8" t="e">
        <v>#NUM!</v>
      </c>
      <c r="R20" s="9" t="e">
        <v>#NUM!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>
        <f>M5/(1-(O5*P5))</f>
        <v>163202181622.88599</v>
      </c>
      <c r="C23" s="2">
        <f>(O5*N5)/(1-(O5*P5))</f>
        <v>4247991600.3038473</v>
      </c>
      <c r="D23" s="3">
        <v>0</v>
      </c>
      <c r="G23" s="1">
        <f>(B23*COS(R5)^4)+(2*(C23+(2*D25))*(SIN(R5)^2)*(COS(R5)^2))+(C24*SIN(R5)^4)</f>
        <v>163202181622.88599</v>
      </c>
      <c r="H23" s="2">
        <f>((B23+C24-(4*D25))*(SIN(R5)^2)*(COS(R5)^2))+(C23*((SIN(R5)^4)+(COS(R5)^4)))</f>
        <v>4247991600.3038473</v>
      </c>
      <c r="I23" s="3">
        <f>((B23-C23-(2*D25))*SIN(R5)*(COS(R5)^3))+((C23-C24+(2*D25))*(SIN(R5)^3)*COS(R5))</f>
        <v>0</v>
      </c>
      <c r="L23" s="1" t="e">
        <f t="array" ref="L23:N25">MINVERSE(B8:D10)</f>
        <v>#NUM!</v>
      </c>
      <c r="M23" s="2" t="e">
        <v>#NUM!</v>
      </c>
      <c r="N23" s="3" t="e">
        <v>#NUM!</v>
      </c>
      <c r="P23" s="1">
        <f t="array" ref="P23:R25">MINVERSE(F8:H10)</f>
        <v>9.2344911580543552E-3</v>
      </c>
      <c r="Q23" s="2">
        <v>-1.6688128976560552E-3</v>
      </c>
      <c r="R23" s="3">
        <v>0</v>
      </c>
    </row>
    <row r="24" spans="1:18" x14ac:dyDescent="0.3">
      <c r="B24" s="4">
        <f>(O5*N5)/(1-(O5*P5))</f>
        <v>4247991600.3038473</v>
      </c>
      <c r="C24">
        <f>N5/(1-(O5*P5))</f>
        <v>15010571025.808649</v>
      </c>
      <c r="D24" s="6">
        <v>0</v>
      </c>
      <c r="G24" s="4">
        <f>((B23+C24-(4*D25))*(SIN(R5)^2)*(COS(R5)^2))+(C23*((SIN(R5)^4)+(COS(R5)^4)))</f>
        <v>4247991600.3038473</v>
      </c>
      <c r="H24">
        <f>(B23*SIN(R5)^4)+(2*(C23+(2*(D25))*(SIN(R5)^2)*(COS(R5)^2)))+(C24*(COS(R5)^4))</f>
        <v>23506554226.416344</v>
      </c>
      <c r="I24" s="6">
        <f>((B23-C23-(2*D25))*(SIN(R5)^3)*COS(R5))+((C23-C24+(2*D25))*SIN(R5)*(COS(R5)^3))</f>
        <v>0</v>
      </c>
      <c r="L24" s="4" t="e">
        <v>#NUM!</v>
      </c>
      <c r="M24" t="e">
        <v>#NUM!</v>
      </c>
      <c r="N24" s="6" t="e">
        <v>#NUM!</v>
      </c>
      <c r="P24" s="4">
        <v>-1.6688128976560552E-3</v>
      </c>
      <c r="Q24">
        <v>6.4113569715721061E-2</v>
      </c>
      <c r="R24" s="6">
        <v>0</v>
      </c>
    </row>
    <row r="25" spans="1:18" ht="15" thickBot="1" x14ac:dyDescent="0.35">
      <c r="B25" s="7">
        <v>0</v>
      </c>
      <c r="C25" s="8">
        <v>0</v>
      </c>
      <c r="D25" s="9">
        <f>Q5</f>
        <v>5700000000</v>
      </c>
      <c r="G25" s="7">
        <f>((B23-C23-(2*D25))*SIN(R5)*(COS(R5)^3))+((C23-C24+(2*D25))*(SIN(R5)^3)*COS(R5))</f>
        <v>0</v>
      </c>
      <c r="H25" s="8">
        <f>((B23-C23-(2*D25))*(SIN(R5)^3)*COS(R5))+((C23-C24+(2*D25))*SIN(R5)*(COS(R5)^3))</f>
        <v>0</v>
      </c>
      <c r="I25" s="9">
        <f>((B23+C24-(2*C23)-(2*D25))*(SIN(R5)^2)*(COS(R5)^2))+(D25*((SIN(R5)^4)+(COS(R5)^4)))</f>
        <v>5700000000</v>
      </c>
      <c r="L25" s="7" t="e">
        <v>#NUM!</v>
      </c>
      <c r="M25" s="8" t="e">
        <v>#NUM!</v>
      </c>
      <c r="N25" s="9" t="e">
        <v>#NUM!</v>
      </c>
      <c r="P25" s="7">
        <v>0</v>
      </c>
      <c r="Q25" s="8">
        <v>0</v>
      </c>
      <c r="R25" s="9">
        <v>0.26315789473684209</v>
      </c>
    </row>
    <row r="27" spans="1:18" ht="15" thickBot="1" x14ac:dyDescent="0.35">
      <c r="A27">
        <v>3</v>
      </c>
    </row>
    <row r="28" spans="1:18" x14ac:dyDescent="0.3">
      <c r="B28" s="1" t="e">
        <f>M6/(1-(O6*P6))</f>
        <v>#DIV/0!</v>
      </c>
      <c r="C28" s="2" t="e">
        <f>(O6*N6)/(1-(O6*P6))</f>
        <v>#DIV/0!</v>
      </c>
      <c r="D28" s="3">
        <v>0</v>
      </c>
      <c r="G28" s="1" t="e">
        <f>(B28*COS(R6)^4)+(2*(C28+(2*D30))*(SIN(R6)^2)*(COS(R6)^2))+(C29*SIN(R6)^4)</f>
        <v>#DIV/0!</v>
      </c>
      <c r="H28" s="2" t="e">
        <f>((B28+C29-(4*D30))*(SIN(R6)^2)*(COS(R6)^2))+(C28*((SIN(R6)^4)+(COS(R6)^4)))</f>
        <v>#DIV/0!</v>
      </c>
      <c r="I28" s="3" t="e">
        <f>((B28-C28-(2*D30))*SIN(R6)*(COS(R6)^3))+((C28-C29+(2*D30))*(SIN(R6)^3)*COS(R6))</f>
        <v>#DIV/0!</v>
      </c>
    </row>
    <row r="29" spans="1:18" x14ac:dyDescent="0.3">
      <c r="B29" s="4" t="e">
        <f>(O6*N6)/(1-(O6*P6))</f>
        <v>#DIV/0!</v>
      </c>
      <c r="C29" t="e">
        <f>N6/(1-(O6*P6))</f>
        <v>#DIV/0!</v>
      </c>
      <c r="D29" s="6">
        <v>0</v>
      </c>
      <c r="G29" s="4" t="e">
        <f>((B28+C29-(4*D30))*(SIN(R6)^2)*(COS(R6)^2))+(C28*((SIN(R6)^4)+(COS(R6)^4)))</f>
        <v>#DIV/0!</v>
      </c>
      <c r="H29" t="e">
        <f>(B28*SIN(R6)^4)+(2*(C28+(2*(D30))*(SIN(R6)^2)*(COS(R6)^2)))+(C29*(COS(R6)^4))</f>
        <v>#DIV/0!</v>
      </c>
      <c r="I29" s="6" t="e">
        <f>((B28-C28-(2*D30))*(SIN(R6)^3)*COS(R6))+((C28-C29+(2*D30))*SIN(R6)*(COS(R6)^3))</f>
        <v>#DIV/0!</v>
      </c>
    </row>
    <row r="30" spans="1:18" ht="15" thickBot="1" x14ac:dyDescent="0.35">
      <c r="B30" s="7">
        <v>0</v>
      </c>
      <c r="C30" s="8">
        <v>0</v>
      </c>
      <c r="D30" s="9">
        <f>Q6</f>
        <v>0</v>
      </c>
      <c r="G30" s="7" t="e">
        <f>((B28-C28-(2*D30))*SIN(R6)*(COS(R6)^3))+((C28-C29+(2*D30))*(SIN(R6)^3)*COS(R6))</f>
        <v>#DIV/0!</v>
      </c>
      <c r="H30" s="8" t="e">
        <f>((B28-C28-(2*D30))*(SIN(R6)^3)*COS(R6))+((C28-C29+(2*D30))*SIN(R6)*(COS(R6)^3))</f>
        <v>#DIV/0!</v>
      </c>
      <c r="I30" s="9" t="e">
        <f>((B28+C29-(2*C28)-(2*D30))*(SIN(R6)^2)*(COS(R6)^2))+(D30*((SIN(R6)^4)+(COS(R6)^4)))</f>
        <v>#DIV/0!</v>
      </c>
    </row>
    <row r="32" spans="1:18" ht="15" thickBot="1" x14ac:dyDescent="0.35">
      <c r="A32">
        <v>4</v>
      </c>
    </row>
    <row r="33" spans="1:9" x14ac:dyDescent="0.3">
      <c r="B33" s="1" t="e">
        <f>M7/(1-(O7*P7))</f>
        <v>#DIV/0!</v>
      </c>
      <c r="C33" s="2" t="e">
        <f>(O7*N7)/(1-(O7*P7))</f>
        <v>#DIV/0!</v>
      </c>
      <c r="D33" s="3">
        <v>0</v>
      </c>
      <c r="G33" s="1" t="e">
        <f>(B33*COS(R7)^4)+(2*(C33+(2*D35))*(SIN(R7)^2)*(COS(R7)^2))+(C34*SIN(R7)^4)</f>
        <v>#DIV/0!</v>
      </c>
      <c r="H33" s="2" t="e">
        <f>((B33+C34-(4*D35))*(SIN(R7)^2)*(COS(R7)^2))+(C33*((SIN(R7)^4)+(COS(R7)^4)))</f>
        <v>#DIV/0!</v>
      </c>
      <c r="I33" s="3" t="e">
        <f>((B33-C33-(2*D35))*SIN(R7)*(COS(R7)^3))+((C33-C34+(2*D35))*(SIN(R7)^3)*COS(R7))</f>
        <v>#DIV/0!</v>
      </c>
    </row>
    <row r="34" spans="1:9" x14ac:dyDescent="0.3">
      <c r="B34" s="4" t="e">
        <f>(O7*N7)/(1-(O7*P7))</f>
        <v>#DIV/0!</v>
      </c>
      <c r="C34" t="e">
        <f>N7/(1-(O7*P7))</f>
        <v>#DIV/0!</v>
      </c>
      <c r="D34" s="6">
        <v>0</v>
      </c>
      <c r="G34" s="4" t="e">
        <f>((B33+C34-(4*D35))*(SIN(R7)^2)*(COS(R7)^2))+(C33*((SIN(R7)^4)+(COS(R7)^4)))</f>
        <v>#DIV/0!</v>
      </c>
      <c r="H34" t="e">
        <f>(B33*SIN(R7)^4)+(2*(C33+(2*(D35))*(SIN(R7)^2)*(COS(R7)^2)))+(C34*(COS(R7)^4))</f>
        <v>#DIV/0!</v>
      </c>
      <c r="I34" s="6" t="e">
        <f>((B33-C33-(2*D35))*(SIN(R7)^3)*COS(R7))+((C33-C34+(2*D35))*SIN(R7)*(COS(R7)^3))</f>
        <v>#DIV/0!</v>
      </c>
    </row>
    <row r="35" spans="1:9" ht="15" thickBot="1" x14ac:dyDescent="0.35">
      <c r="B35" s="7">
        <v>0</v>
      </c>
      <c r="C35" s="8">
        <v>0</v>
      </c>
      <c r="D35" s="9">
        <f>Q7</f>
        <v>0</v>
      </c>
      <c r="G35" s="7" t="e">
        <f>((B33-C33-(2*D35))*SIN(R7)*(COS(R7)^3))+((C33-C34+(2*D35))*(SIN(R7)^3)*COS(R7))</f>
        <v>#DIV/0!</v>
      </c>
      <c r="H35" s="8" t="e">
        <f>((B33-C33-(2*D35))*(SIN(R7)^3)*COS(R7))+((C33-C34+(2*D35))*SIN(R7)*(COS(R7)^3))</f>
        <v>#DIV/0!</v>
      </c>
      <c r="I35" s="9" t="e">
        <f>((B33+C34-(2*C33)-(2*D35))*(SIN(R7)^2)*(COS(R7)^2))+(D35*((SIN(R7)^4)+(COS(R7)^4)))</f>
        <v>#DIV/0!</v>
      </c>
    </row>
    <row r="37" spans="1:9" ht="15" thickBot="1" x14ac:dyDescent="0.35">
      <c r="A37">
        <v>5</v>
      </c>
    </row>
    <row r="38" spans="1:9" x14ac:dyDescent="0.3">
      <c r="B38" s="1" t="e">
        <f>M8/(1-(O8*P8))</f>
        <v>#DIV/0!</v>
      </c>
      <c r="C38" s="2" t="e">
        <f>(O8*N8)/(1-(O8*P8))</f>
        <v>#DIV/0!</v>
      </c>
      <c r="D38" s="3">
        <v>0</v>
      </c>
      <c r="G38" s="1" t="e">
        <f>(B38*COS(R8)^4)+(2*(C38+(2*D40))*(SIN(R8)^2)*(COS(R8)^2))+(C39*SIN(R8)^4)</f>
        <v>#DIV/0!</v>
      </c>
      <c r="H38" s="2" t="e">
        <f>((B38+C39-(4*D40))*(SIN(R8)^2)*(COS(R8)^2))+(C38*((SIN(R8)^4)+(COS(R8)^4)))</f>
        <v>#DIV/0!</v>
      </c>
      <c r="I38" s="3" t="e">
        <f>((B38-C38-(2*D40))*SIN(R8)*(COS(R8)^3))+((C38-C39+(2*D40))*(SIN(R8)^3)*COS(R8))</f>
        <v>#DIV/0!</v>
      </c>
    </row>
    <row r="39" spans="1:9" x14ac:dyDescent="0.3">
      <c r="B39" s="4" t="e">
        <f>(O8*N8)/(1-(O8*P8))</f>
        <v>#DIV/0!</v>
      </c>
      <c r="C39" t="e">
        <f>N8/(1-(O8*P8))</f>
        <v>#DIV/0!</v>
      </c>
      <c r="D39" s="6">
        <v>0</v>
      </c>
      <c r="G39" s="4" t="e">
        <f>((B38+C39-(4*D40))*(SIN(R8)^2)*(COS(R8)^2))+(C38*((SIN(R8)^4)+(COS(R8)^4)))</f>
        <v>#DIV/0!</v>
      </c>
      <c r="H39" t="e">
        <f>(B38*SIN(R8)^4)+(2*(C38+(2*(D40))*(SIN(R8)^2)*(COS(R8)^2)))+(C39*(COS(R8)^4))</f>
        <v>#DIV/0!</v>
      </c>
      <c r="I39" s="6" t="e">
        <f>((B38-C38-(2*D40))*(SIN(R8)^3)*COS(R8))+((C38-C39+(2*D40))*SIN(R8)*(COS(R8)^3))</f>
        <v>#DIV/0!</v>
      </c>
    </row>
    <row r="40" spans="1:9" ht="15" thickBot="1" x14ac:dyDescent="0.35">
      <c r="B40" s="7">
        <v>0</v>
      </c>
      <c r="C40" s="8">
        <v>0</v>
      </c>
      <c r="D40" s="9">
        <f>Q8</f>
        <v>0</v>
      </c>
      <c r="G40" s="7" t="e">
        <f>((B38-C38-(2*D40))*SIN(R8)*(COS(R8)^3))+((C38-C39+(2*D40))*(SIN(R8)^3)*COS(R8))</f>
        <v>#DIV/0!</v>
      </c>
      <c r="H40" s="8" t="e">
        <f>((B38-C38-(2*D40))*(SIN(R8)^3)*COS(R8))+((C38-C39+(2*D40))*SIN(R8)*(COS(R8)^3))</f>
        <v>#DIV/0!</v>
      </c>
      <c r="I40" s="9" t="e">
        <f>((B38+C39-(2*C38)-(2*D40))*(SIN(R8)^2)*(COS(R8)^2))+(D40*((SIN(R8)^4)+(COS(R8)^4)))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C771-AE43-4B81-A24E-A117D0C29A42}">
  <dimension ref="A3:U30"/>
  <sheetViews>
    <sheetView workbookViewId="0">
      <selection activeCell="G36" sqref="G36"/>
    </sheetView>
  </sheetViews>
  <sheetFormatPr defaultRowHeight="14.4" x14ac:dyDescent="0.3"/>
  <cols>
    <col min="2" max="4" width="12.6640625" bestFit="1" customWidth="1"/>
    <col min="6" max="8" width="12.6640625" bestFit="1" customWidth="1"/>
  </cols>
  <sheetData>
    <row r="3" spans="1:21" ht="15" thickBot="1" x14ac:dyDescent="0.35">
      <c r="B3" t="s">
        <v>0</v>
      </c>
      <c r="F3" t="s">
        <v>1</v>
      </c>
      <c r="L3" t="s">
        <v>7</v>
      </c>
      <c r="M3" t="s">
        <v>3</v>
      </c>
      <c r="N3" t="s">
        <v>4</v>
      </c>
      <c r="O3" t="s">
        <v>5</v>
      </c>
      <c r="P3" t="s">
        <v>6</v>
      </c>
      <c r="Q3" t="s">
        <v>8</v>
      </c>
      <c r="R3" t="s">
        <v>14</v>
      </c>
      <c r="S3" t="s">
        <v>18</v>
      </c>
      <c r="T3" t="s">
        <v>19</v>
      </c>
      <c r="U3" t="s">
        <v>13</v>
      </c>
    </row>
    <row r="4" spans="1:21" x14ac:dyDescent="0.3">
      <c r="B4" s="1">
        <f>(G18*(S4-T4))+(G23*(S5-T5))+(G28*(S6-T6))</f>
        <v>162457086.80725849</v>
      </c>
      <c r="C4" s="2">
        <f>(H18*(S4-T4))+(H23*(S5-T5))+(H28*(S6-T6))</f>
        <v>16307013.241785191</v>
      </c>
      <c r="D4" s="3">
        <f>(I18*(S4-T4))+(I23*(S5-T5))+(I28*(S6-T6))</f>
        <v>-2.4364771871772701E-10</v>
      </c>
      <c r="F4" s="1">
        <f>(1/2)*((G18*((S4^2)-(T4^2)))+(G23*((S5^2)-(T5^2)))+(G28*((S6^2)-(T6^2))))</f>
        <v>-14559.833251593918</v>
      </c>
      <c r="G4" s="2">
        <f>(1/2)*((H18*((S4^2)-(T4^2)))+(H23*((S5^2)-(T5^2)))+(H28*((S6^2)-(T6^2))))</f>
        <v>-4076.7533104462982</v>
      </c>
      <c r="H4" s="3">
        <f>(1/2)*((I18*((S4^2)-(T4^2)))+(I23*((S5^2)-(T5^2)))+(I28*((S6^2)-(T6^2))))</f>
        <v>1.8273578903829525E-13</v>
      </c>
      <c r="J4">
        <f>PI()</f>
        <v>3.1415926535897931</v>
      </c>
      <c r="L4">
        <v>1</v>
      </c>
      <c r="M4" s="11">
        <v>140000000000</v>
      </c>
      <c r="N4" s="11">
        <v>38000000000</v>
      </c>
      <c r="O4">
        <v>0.28000000000000003</v>
      </c>
      <c r="P4">
        <f>(O4/M4)*N4</f>
        <v>7.6000000000000012E-2</v>
      </c>
      <c r="Q4" s="11">
        <v>10000000000</v>
      </c>
      <c r="R4">
        <f>(U4*$J$4)/180</f>
        <v>1.5707963267948966</v>
      </c>
      <c r="S4">
        <v>-5.0000000000000001E-4</v>
      </c>
      <c r="T4">
        <v>-1E-3</v>
      </c>
      <c r="U4">
        <v>90</v>
      </c>
    </row>
    <row r="5" spans="1:21" x14ac:dyDescent="0.3">
      <c r="B5" s="4">
        <f>(H18*(S4-T4))+(H23*(S5-T5))+(H28*(S6-T6))</f>
        <v>16307013.241785191</v>
      </c>
      <c r="C5" s="5">
        <f>(H19*(S4-T4))+(H24*(S5-T5))+(H29*(S6-T6))</f>
        <v>142962236.39038748</v>
      </c>
      <c r="D5" s="6">
        <f>(I19*(S4-T4))+(I24*(S5-T5))+(I29*(S6-T6))</f>
        <v>3.4357032197976897E-9</v>
      </c>
      <c r="F5" s="4">
        <f>(1/2)*((H18*((S4^2)-(T4^2)))+(H23*((S5^2)-(T5^2)))+(H28*((S6^2)-(T6^2))))</f>
        <v>-4076.7533104462982</v>
      </c>
      <c r="G5" s="5">
        <f>(1/2)*((H19*((S4^2)-(T4^2)))+(H24*((S5^2)-(T5^2)))+(H29*((S6^2)-(T6^2))))</f>
        <v>-61794.997547817562</v>
      </c>
      <c r="H5" s="6">
        <f>(1/2)*((I19*((S4^2)-(T4^2)))+(I24*((S5^2)-(T5^2)))+(I29*((S6^2)-(T6^2)))+(I34*((S7^2)-(T7^2))))</f>
        <v>-2.5767774148482676E-12</v>
      </c>
      <c r="L5">
        <v>2</v>
      </c>
      <c r="M5" s="11">
        <v>140000000000</v>
      </c>
      <c r="N5" s="11">
        <v>38000000000</v>
      </c>
      <c r="O5">
        <v>0.28000000000000003</v>
      </c>
      <c r="P5">
        <f t="shared" ref="P5:P6" si="0">(O5/M5)*N5</f>
        <v>7.6000000000000012E-2</v>
      </c>
      <c r="Q5" s="11">
        <v>10000000000</v>
      </c>
      <c r="R5">
        <f t="shared" ref="R5:R6" si="1">(U5*$J$4)/180</f>
        <v>0</v>
      </c>
      <c r="S5">
        <v>0</v>
      </c>
      <c r="T5">
        <v>-5.0000000000000001E-4</v>
      </c>
      <c r="U5">
        <v>0</v>
      </c>
    </row>
    <row r="6" spans="1:21" ht="15" thickBot="1" x14ac:dyDescent="0.35">
      <c r="B6" s="7">
        <f>(I18*(S4-T4))+(I23*(S5-T5))+(I28*(S6-T6))</f>
        <v>-2.4364771871772701E-10</v>
      </c>
      <c r="C6" s="8">
        <f>(I19*(S4-T4))+(I24*(S5-T5))+(I29*(S6-T6))</f>
        <v>3.4357032197976897E-9</v>
      </c>
      <c r="D6" s="9">
        <f>(I20*(S4-T4))+(I25*(S5-T5))+(I30*(S6-T6))</f>
        <v>15000000</v>
      </c>
      <c r="F6" s="7">
        <f>(1/2)*((I18*((S4^2)-(T4^2)))+(I23*((S5^2)-(T5^2)))+(I28*((S6^2)-(T6^2))))</f>
        <v>1.8273578903829525E-13</v>
      </c>
      <c r="G6" s="8">
        <f>(1/2)*((I19*((S4^2)-(T4^2)))+(I24*((S5^2)-(T5^2)))+(I29*((S6^2)-(T6^2))))</f>
        <v>-2.5767774148482676E-12</v>
      </c>
      <c r="H6" s="9">
        <f>(1/2)*((I20*((S4^2)-(T4^2)))+(I25*((S5^2)-(T5^2)))+(I30*((S6^2)-(T6^2))))</f>
        <v>-3750</v>
      </c>
      <c r="L6">
        <v>3</v>
      </c>
      <c r="M6" s="11">
        <v>140000000000</v>
      </c>
      <c r="N6" s="11">
        <v>38000000000</v>
      </c>
      <c r="O6">
        <v>0.28000000000000003</v>
      </c>
      <c r="P6">
        <f t="shared" si="0"/>
        <v>7.6000000000000012E-2</v>
      </c>
      <c r="Q6" s="11">
        <v>10000000000</v>
      </c>
      <c r="R6">
        <f t="shared" si="1"/>
        <v>0</v>
      </c>
      <c r="S6">
        <v>5.0000000000000001E-4</v>
      </c>
      <c r="T6">
        <v>0</v>
      </c>
      <c r="U6">
        <v>0</v>
      </c>
    </row>
    <row r="7" spans="1:21" ht="15" thickBot="1" x14ac:dyDescent="0.35">
      <c r="B7" t="s">
        <v>1</v>
      </c>
      <c r="F7" t="s">
        <v>2</v>
      </c>
      <c r="M7" s="11"/>
      <c r="N7" s="11"/>
      <c r="Q7" s="11"/>
    </row>
    <row r="8" spans="1:21" x14ac:dyDescent="0.3">
      <c r="B8" s="1">
        <f t="shared" ref="B8:D10" si="2">F4</f>
        <v>-14559.833251593918</v>
      </c>
      <c r="C8" s="2">
        <f t="shared" si="2"/>
        <v>-4076.7533104462982</v>
      </c>
      <c r="D8" s="3">
        <f t="shared" si="2"/>
        <v>1.8273578903829525E-13</v>
      </c>
      <c r="F8" s="1">
        <f>(1/3)*((G18*((S4^3)-(T4^3)))+(G23*((S5^3)-(T5^3)))+(G28*((S6^3)-(T6^3))))</f>
        <v>23.244646068334152</v>
      </c>
      <c r="G8" s="2">
        <f>(1/3)*((H18*((S4^3)-(T4^3)))+(H23*((S5^3)-(T5^3)))+(H28*((S6^3)-(T6^3))))</f>
        <v>4.0767533104462981</v>
      </c>
      <c r="H8" s="3">
        <f>(1/3)*((I18*((S4^3)-(T4^3)))+(I23*((S5^3)-(T5^3)))+(I28*((S6^3)-(T6^3))))</f>
        <v>-1.4212783591867408E-16</v>
      </c>
    </row>
    <row r="9" spans="1:21" x14ac:dyDescent="0.3">
      <c r="B9" s="4">
        <f t="shared" si="2"/>
        <v>-4076.7533104462982</v>
      </c>
      <c r="C9" s="5">
        <f t="shared" si="2"/>
        <v>-61794.997547817562</v>
      </c>
      <c r="D9" s="6">
        <f t="shared" si="2"/>
        <v>-2.5767774148482676E-12</v>
      </c>
      <c r="F9" s="4">
        <f>(1/3)*((H18*((S4^3)-(T4^3)))+(H23*((S5^3)-(T5^3)))+(H28*((S6^3)-(T6^3))))</f>
        <v>4.0767533104462981</v>
      </c>
      <c r="G9" s="5">
        <f>(1/3)*((H19*((S4^3)-(T4^3)))+(H24*((S5^3)-(T5^3)))+(H29*((S6^3)-(T6^3))))</f>
        <v>53.110184731077325</v>
      </c>
      <c r="H9" s="6">
        <f>(1/3)*((I19*((S4^3)-(T4^3)))+(I24*((S5^3)-(T5^3)))+(I29*((S6^3)-(T6^3)))+(I34*((S7^3)-(T7^3))))</f>
        <v>2.0041602115486525E-15</v>
      </c>
    </row>
    <row r="10" spans="1:21" ht="15" thickBot="1" x14ac:dyDescent="0.35">
      <c r="B10" s="7">
        <f t="shared" si="2"/>
        <v>1.8273578903829525E-13</v>
      </c>
      <c r="C10" s="8">
        <f t="shared" si="2"/>
        <v>-2.5767774148482676E-12</v>
      </c>
      <c r="D10" s="9">
        <f t="shared" si="2"/>
        <v>-3750</v>
      </c>
      <c r="F10" s="7">
        <f>(1/3)*((I18*((S4^3)-(T4^3)))+(I23*((S5^3)-(T5^3)))+(I28*((S6^3)-(T6^3))))</f>
        <v>-1.4212783591867408E-16</v>
      </c>
      <c r="G10" s="8">
        <f>(1/3)*((I19*((S4^3)-(T4^3)))+(I24*((S5^3)-(T5^3)))+(I29*((S6^3)-(T6^3))))</f>
        <v>2.0041602115486525E-15</v>
      </c>
      <c r="H10" s="9">
        <f>(1/3)*((I20*((S4^3)-(T4^3)))+(I25*((S5^3)-(T5^3)))+(I30*((S6^3)-(T6^3))))</f>
        <v>3.75</v>
      </c>
    </row>
    <row r="16" spans="1:21" x14ac:dyDescent="0.3">
      <c r="A16" t="s">
        <v>11</v>
      </c>
    </row>
    <row r="17" spans="1:18" ht="15" thickBot="1" x14ac:dyDescent="0.35">
      <c r="A17">
        <v>1</v>
      </c>
      <c r="B17" t="s">
        <v>9</v>
      </c>
      <c r="G17" t="s">
        <v>10</v>
      </c>
      <c r="L17" t="s">
        <v>20</v>
      </c>
      <c r="P17" t="s">
        <v>21</v>
      </c>
    </row>
    <row r="18" spans="1:18" x14ac:dyDescent="0.3">
      <c r="B18" s="1">
        <f>M4/(1-(O4*P4))</f>
        <v>143043975805.13324</v>
      </c>
      <c r="C18" s="2">
        <f>(O4*N4)/(1-(O4*P4))</f>
        <v>10871342161.190128</v>
      </c>
      <c r="D18" s="3">
        <v>0</v>
      </c>
      <c r="G18" s="1">
        <f>(B18*COS(R4)^4)+(2*(C18+(2*D20))*(SIN(R4)^2)*(COS(R4)^2))+(C19*SIN(R4)^4)</f>
        <v>38826222004.25045</v>
      </c>
      <c r="H18" s="2">
        <f>((B18+C19-(4*D20))*(SIN(R4)^2)*(COS(R4)^2))+(C18*((SIN(R4)^4)+(COS(R4)^4)))</f>
        <v>10871342161.190128</v>
      </c>
      <c r="I18" s="3">
        <f>((B18-C18-(2*D20))*SIN(R4)*(COS(R4)^3))+((C18-C19+(2*D20))*(SIN(R4)^3)*COS(R4))</f>
        <v>-4.8729543743545397E-7</v>
      </c>
      <c r="L18" s="1">
        <f t="array" ref="L18:N20">MINVERSE(B4:D6)</f>
        <v>6.2267654317107544E-9</v>
      </c>
      <c r="M18" s="2">
        <v>-7.102571204266982E-10</v>
      </c>
      <c r="N18" s="3">
        <v>2.638246578640647E-25</v>
      </c>
      <c r="P18" s="1">
        <f t="array" ref="P18:R20">MINVERSE(F4:H6)</f>
        <v>-6.9974693348625561E-5</v>
      </c>
      <c r="Q18" s="2">
        <v>4.6163860195273811E-6</v>
      </c>
      <c r="R18" s="3">
        <v>-6.5819413426968785E-21</v>
      </c>
    </row>
    <row r="19" spans="1:18" x14ac:dyDescent="0.3">
      <c r="B19" s="4">
        <f>(O4*N4)/(1-(O4*P4))</f>
        <v>10871342161.190128</v>
      </c>
      <c r="C19" s="5">
        <f>N4/(1-(O4*P4))</f>
        <v>38826222004.25045</v>
      </c>
      <c r="D19" s="6">
        <v>0</v>
      </c>
      <c r="G19" s="4">
        <f>((B18+C19-(4*D20))*(SIN(R4)^2)*(COS(R4)^2))+(C18*((SIN(R4)^4)+(COS(R4)^4)))</f>
        <v>10871342161.190128</v>
      </c>
      <c r="H19" s="5">
        <f>(B18*SIN(R4)^4)+(2*(C18+(2*(D20))*(SIN(R4)^2)*(COS(R4)^2)))+(C19*(COS(R4)^4))</f>
        <v>164786660127.51349</v>
      </c>
      <c r="I19" s="6">
        <f>((B18-C18-(2*D20))*(SIN(R4)^3)*COS(R4))+((C18-C19+(2*D20))*SIN(R4)*(COS(R4)^3))</f>
        <v>6.8714064395953796E-6</v>
      </c>
      <c r="L19" s="4">
        <v>-7.102571204266983E-10</v>
      </c>
      <c r="M19" s="5">
        <v>7.0758698087622198E-9</v>
      </c>
      <c r="N19" s="6">
        <v>-1.6322427474619071E-24</v>
      </c>
      <c r="P19" s="4">
        <v>4.6163860195273819E-6</v>
      </c>
      <c r="Q19" s="5">
        <v>-1.64870929268835E-5</v>
      </c>
      <c r="R19" s="6">
        <v>1.1553906035275125E-20</v>
      </c>
    </row>
    <row r="20" spans="1:18" ht="15" thickBot="1" x14ac:dyDescent="0.35">
      <c r="B20" s="7">
        <v>0</v>
      </c>
      <c r="C20" s="8">
        <v>0</v>
      </c>
      <c r="D20" s="9">
        <f>Q4</f>
        <v>10000000000</v>
      </c>
      <c r="G20" s="7">
        <f>((B18-C18-(2*D20))*SIN(R4)*(COS(R4)^3))+((C18-C19+(2*D20))*(SIN(R4)^3)*COS(R4))</f>
        <v>-4.8729543743545397E-7</v>
      </c>
      <c r="H20" s="8">
        <f>((B18-C18-(2*D20))*(SIN(R4)^3)*COS(R4))+((C18-C19+(2*D20))*SIN(R4)*(COS(R4)^3))</f>
        <v>6.8714064395953796E-6</v>
      </c>
      <c r="I20" s="9">
        <f>((B18+C19-(2*C18)-(2*D20))*(SIN(R4)^2)*(COS(R4)^2))+(D20*((SIN(R4)^4)+(COS(R4)^4)))</f>
        <v>10000000000</v>
      </c>
      <c r="L20" s="7">
        <v>2.638246578640647E-25</v>
      </c>
      <c r="M20" s="8">
        <v>-1.6322427474619073E-24</v>
      </c>
      <c r="N20" s="9">
        <v>6.6666666666666668E-8</v>
      </c>
      <c r="P20" s="7">
        <v>-6.5819413426968785E-21</v>
      </c>
      <c r="Q20" s="8">
        <v>1.1553906035275125E-20</v>
      </c>
      <c r="R20" s="9">
        <v>-2.6666666666666668E-4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>
        <f>M5/(1-(O5*P5))</f>
        <v>143043975805.13324</v>
      </c>
      <c r="C23" s="2">
        <f>(O5*N5)/(1-(O5*P5))</f>
        <v>10871342161.190128</v>
      </c>
      <c r="D23" s="3">
        <v>0</v>
      </c>
      <c r="G23" s="1">
        <f>(B23*COS(R5)^4)+(2*(C23+(2*D25))*(SIN(R5)^2)*(COS(R5)^2))+(C24*SIN(R5)^4)</f>
        <v>143043975805.13324</v>
      </c>
      <c r="H23" s="2">
        <f>((B23+C24-(4*D25))*(SIN(R5)^2)*(COS(R5)^2))+(C23*((SIN(R5)^4)+(COS(R5)^4)))</f>
        <v>10871342161.190128</v>
      </c>
      <c r="I23" s="3">
        <f>((B23-C23-(2*D25))*SIN(R5)*(COS(R5)^3))+((C23-C24+(2*D25))*(SIN(R5)^3)*COS(R5))</f>
        <v>0</v>
      </c>
      <c r="L23" s="1">
        <f t="array" ref="L23:N25">MINVERSE(B8:D10)</f>
        <v>-6.9974693348625561E-5</v>
      </c>
      <c r="M23" s="2">
        <v>4.6163860195273811E-6</v>
      </c>
      <c r="N23" s="3">
        <v>-6.5819413426968785E-21</v>
      </c>
      <c r="P23" s="1">
        <f t="array" ref="P23:R25">MINVERSE(F8:H10)</f>
        <v>4.3607731671079536E-2</v>
      </c>
      <c r="Q23" s="2">
        <v>-3.3473422348520086E-3</v>
      </c>
      <c r="R23" s="3">
        <v>3.4417287075358665E-18</v>
      </c>
    </row>
    <row r="24" spans="1:18" x14ac:dyDescent="0.3">
      <c r="B24" s="4">
        <f>(O5*N5)/(1-(O5*P5))</f>
        <v>10871342161.190128</v>
      </c>
      <c r="C24" s="5">
        <f>N5/(1-(O5*P5))</f>
        <v>38826222004.25045</v>
      </c>
      <c r="D24" s="6">
        <v>0</v>
      </c>
      <c r="G24" s="4">
        <f>((B23+C24-(4*D25))*(SIN(R5)^2)*(COS(R5)^2))+(C23*((SIN(R5)^4)+(COS(R5)^4)))</f>
        <v>10871342161.190128</v>
      </c>
      <c r="H24" s="5">
        <f>(B23*SIN(R5)^4)+(2*(C23+(2*(D25))*(SIN(R5)^2)*(COS(R5)^2)))+(C24*(COS(R5)^4))</f>
        <v>60568906326.630707</v>
      </c>
      <c r="I24" s="6">
        <f>((B23-C23-(2*D25))*(SIN(R5)^3)*COS(R5))+((C23-C24+(2*D25))*SIN(R5)*(COS(R5)^3))</f>
        <v>0</v>
      </c>
      <c r="L24" s="4">
        <v>4.6163860195273819E-6</v>
      </c>
      <c r="M24" s="5">
        <v>-1.64870929268835E-5</v>
      </c>
      <c r="N24" s="6">
        <v>1.1553906035275125E-20</v>
      </c>
      <c r="P24" s="4">
        <v>-3.3473422348520082E-3</v>
      </c>
      <c r="Q24" s="5">
        <v>1.9085723268893028E-2</v>
      </c>
      <c r="R24" s="6">
        <v>-1.0327092717883303E-17</v>
      </c>
    </row>
    <row r="25" spans="1:18" ht="15" thickBot="1" x14ac:dyDescent="0.35">
      <c r="B25" s="7">
        <v>0</v>
      </c>
      <c r="C25" s="8">
        <v>0</v>
      </c>
      <c r="D25" s="9">
        <f>Q5</f>
        <v>10000000000</v>
      </c>
      <c r="G25" s="7">
        <f>((B23-C23-(2*D25))*SIN(R5)*(COS(R5)^3))+((C23-C24+(2*D25))*(SIN(R5)^3)*COS(R5))</f>
        <v>0</v>
      </c>
      <c r="H25" s="8">
        <f>((B23-C23-(2*D25))*(SIN(R5)^3)*COS(R5))+((C23-C24+(2*D25))*SIN(R5)*(COS(R5)^3))</f>
        <v>0</v>
      </c>
      <c r="I25" s="9">
        <f>((B23+C24-(2*C23)-(2*D25))*(SIN(R5)^2)*(COS(R5)^2))+(D25*((SIN(R5)^4)+(COS(R5)^4)))</f>
        <v>10000000000</v>
      </c>
      <c r="L25" s="7">
        <v>-6.5819413426968785E-21</v>
      </c>
      <c r="M25" s="8">
        <v>1.1553906035275125E-20</v>
      </c>
      <c r="N25" s="9">
        <v>-2.6666666666666668E-4</v>
      </c>
      <c r="P25" s="7">
        <v>3.4417287075358665E-18</v>
      </c>
      <c r="Q25" s="8">
        <v>-1.0327092717883301E-17</v>
      </c>
      <c r="R25" s="9">
        <v>0.26666666666666666</v>
      </c>
    </row>
    <row r="27" spans="1:18" ht="15" thickBot="1" x14ac:dyDescent="0.35">
      <c r="A27">
        <v>3</v>
      </c>
    </row>
    <row r="28" spans="1:18" x14ac:dyDescent="0.3">
      <c r="B28" s="1">
        <f>M6/(1-(O6*P6))</f>
        <v>143043975805.13324</v>
      </c>
      <c r="C28" s="2">
        <f>(O6*N6)/(1-(O6*P6))</f>
        <v>10871342161.190128</v>
      </c>
      <c r="D28" s="3">
        <v>0</v>
      </c>
      <c r="G28" s="1">
        <f>(B28*COS(R6)^4)+(2*(C28+(2*D30))*(SIN(R6)^2)*(COS(R6)^2))+(C29*SIN(R6)^4)</f>
        <v>143043975805.13324</v>
      </c>
      <c r="H28" s="2">
        <f>((B28+C29-(4*D30))*(SIN(R6)^2)*(COS(R6)^2))+(C28*((SIN(R6)^4)+(COS(R6)^4)))</f>
        <v>10871342161.190128</v>
      </c>
      <c r="I28" s="3">
        <f>((B28-C28-(2*D30))*SIN(R6)*(COS(R6)^3))+((C28-C29+(2*D30))*(SIN(R6)^3)*COS(R6))</f>
        <v>0</v>
      </c>
    </row>
    <row r="29" spans="1:18" x14ac:dyDescent="0.3">
      <c r="B29" s="4">
        <f>(O6*N6)/(1-(O6*P6))</f>
        <v>10871342161.190128</v>
      </c>
      <c r="C29" s="5">
        <f>N6/(1-(O6*P6))</f>
        <v>38826222004.25045</v>
      </c>
      <c r="D29" s="6">
        <v>0</v>
      </c>
      <c r="G29" s="4">
        <f>((B28+C29-(4*D30))*(SIN(R6)^2)*(COS(R6)^2))+(C28*((SIN(R6)^4)+(COS(R6)^4)))</f>
        <v>10871342161.190128</v>
      </c>
      <c r="H29" s="5">
        <f>(B28*SIN(R6)^4)+(2*(C28+(2*(D30))*(SIN(R6)^2)*(COS(R6)^2)))+(C29*(COS(R6)^4))</f>
        <v>60568906326.630707</v>
      </c>
      <c r="I29" s="6">
        <f>((B28-C28-(2*D30))*(SIN(R6)^3)*COS(R6))+((C28-C29+(2*D30))*SIN(R6)*(COS(R6)^3))</f>
        <v>0</v>
      </c>
    </row>
    <row r="30" spans="1:18" ht="15" thickBot="1" x14ac:dyDescent="0.35">
      <c r="B30" s="7">
        <v>0</v>
      </c>
      <c r="C30" s="8">
        <v>0</v>
      </c>
      <c r="D30" s="9">
        <f>Q6</f>
        <v>10000000000</v>
      </c>
      <c r="G30" s="7">
        <f>((B28-C28-(2*D30))*SIN(R6)*(COS(R6)^3))+((C28-C29+(2*D30))*(SIN(R6)^3)*COS(R6))</f>
        <v>0</v>
      </c>
      <c r="H30" s="8">
        <f>((B28-C28-(2*D30))*(SIN(R6)^3)*COS(R6))+((C28-C29+(2*D30))*SIN(R6)*(COS(R6)^3))</f>
        <v>0</v>
      </c>
      <c r="I30" s="9">
        <f>((B28+C29-(2*C28)-(2*D30))*(SIN(R6)^2)*(COS(R6)^2))+(D30*((SIN(R6)^4)+(COS(R6)^4)))</f>
        <v>10000000000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4F6F-4A8B-41EA-A6A9-D1D42D4B5440}">
  <dimension ref="A3:U40"/>
  <sheetViews>
    <sheetView tabSelected="1" workbookViewId="0">
      <selection activeCell="U4" sqref="U4:U7"/>
    </sheetView>
  </sheetViews>
  <sheetFormatPr defaultRowHeight="14.4" x14ac:dyDescent="0.3"/>
  <sheetData>
    <row r="3" spans="1:21" ht="15" thickBot="1" x14ac:dyDescent="0.35">
      <c r="B3" t="s">
        <v>0</v>
      </c>
      <c r="F3" t="s">
        <v>1</v>
      </c>
      <c r="L3" t="s">
        <v>7</v>
      </c>
      <c r="M3" t="s">
        <v>3</v>
      </c>
      <c r="N3" t="s">
        <v>4</v>
      </c>
      <c r="O3" t="s">
        <v>5</v>
      </c>
      <c r="P3" t="s">
        <v>6</v>
      </c>
      <c r="Q3" t="s">
        <v>8</v>
      </c>
      <c r="R3" t="s">
        <v>14</v>
      </c>
      <c r="S3" t="s">
        <v>18</v>
      </c>
      <c r="T3" t="s">
        <v>19</v>
      </c>
      <c r="U3" t="s">
        <v>13</v>
      </c>
    </row>
    <row r="4" spans="1:21" x14ac:dyDescent="0.3">
      <c r="B4" s="1">
        <f>(G18*(S4-T4))+(G23*(S5-T5))+(G28*(S6-T6))+(G33*(S7-T7))</f>
        <v>181870197.80938372</v>
      </c>
      <c r="C4" s="2">
        <f>(H18*(S4-T4))+(H23*(S5-T5))+(H28*(S6-T6))+(H33*(S7-T7))</f>
        <v>21742684.322380256</v>
      </c>
      <c r="D4" s="3">
        <f>(I18*(S4-T4))+(I23*(S5-T5))+(I28*(S6-T6))+(I33*(S7-T7))</f>
        <v>-4.8729543743545402E-10</v>
      </c>
      <c r="F4" s="1">
        <f>(1/2)*((G18*((S4^2)-(T4^2)))+(G23*((S5^2)-(T5^2)))+(G28*((S6^2)-(T6^2)))+(G33*((S7^2)-(T7^2))))</f>
        <v>1.8189894035458565E-12</v>
      </c>
      <c r="G4" s="2">
        <f>(1/2)*((H18*((S4^2)-(T4^2)))+(H23*((S5^2)-(T5^2)))+(H28*((S6^2)-(T6^2)))+(H33*((S7^2)-(T7^2))))</f>
        <v>0</v>
      </c>
      <c r="H4" s="3">
        <f>(1/2)*((I18*((S4^2)-(T4^2)))+(I23*((S5^2)-(T5^2)))+(I28*((S6^2)-(T6^2)))+(I33*((S7^2)-(T7^2))))</f>
        <v>0</v>
      </c>
      <c r="J4">
        <f>PI()</f>
        <v>3.1415926535897931</v>
      </c>
      <c r="L4">
        <v>1</v>
      </c>
      <c r="M4" s="11">
        <v>140000000000</v>
      </c>
      <c r="N4" s="11">
        <v>38000000000</v>
      </c>
      <c r="O4">
        <v>0.28000000000000003</v>
      </c>
      <c r="P4">
        <f>(O4/M4)*N4</f>
        <v>7.6000000000000012E-2</v>
      </c>
      <c r="Q4" s="11">
        <v>10000000000</v>
      </c>
      <c r="R4">
        <f>(U4*$J$4)/180</f>
        <v>1.5707963267948966</v>
      </c>
      <c r="S4">
        <v>-5.0000000000000001E-4</v>
      </c>
      <c r="T4">
        <v>-1E-3</v>
      </c>
      <c r="U4" s="30">
        <v>90</v>
      </c>
    </row>
    <row r="5" spans="1:21" x14ac:dyDescent="0.3">
      <c r="B5" s="4">
        <f>(H18*(S4-T4))+(H23*(S5-T5))+(H28*(S6-T6))+(H33*(S7-T7))</f>
        <v>21742684.322380256</v>
      </c>
      <c r="C5" s="5">
        <f>(H19*(S4-T4))+(H24*(S5-T5))+(H29*(S6-T6))+(H34*(S7-T7))</f>
        <v>225355566.45414424</v>
      </c>
      <c r="D5" s="6">
        <f>(I19*(S4-T4))+(I24*(S5-T5))+(I29*(S6-T6))+(I34*(S7-T7))</f>
        <v>6.8714064395953795E-9</v>
      </c>
      <c r="F5" s="4">
        <f>(1/2)*((H18*((S4^2)-(T4^2)))+(H23*((S5^2)-(T5^2)))+(H28*((S6^2)-(T6^2)))+(H33*((S7^2)-(T7^2))))</f>
        <v>0</v>
      </c>
      <c r="G5" s="5">
        <f>(1/2)*((H19*((S4^2)-(T4^2)))+(H24*((S5^2)-(T5^2)))+(H29*((S6^2)-(T6^2)))+(H34*((S7^2)-(T7^2))))</f>
        <v>0</v>
      </c>
      <c r="H5" s="6">
        <f>(1/2)*((I19*((S4^2)-(T4^2)))+(I24*((S5^2)-(T5^2)))+(I29*((S6^2)-(T6^2)))+(I34*((S7^2)-(T7^2))))</f>
        <v>0</v>
      </c>
      <c r="L5">
        <v>2</v>
      </c>
      <c r="M5" s="11">
        <v>140000000000</v>
      </c>
      <c r="N5" s="11">
        <v>38000000000</v>
      </c>
      <c r="O5">
        <v>0.28000000000000003</v>
      </c>
      <c r="P5">
        <f t="shared" ref="P5:P13" si="0">(O5/M5)*N5</f>
        <v>7.6000000000000012E-2</v>
      </c>
      <c r="Q5" s="11">
        <v>10000000000</v>
      </c>
      <c r="R5">
        <f t="shared" ref="R5:R7" si="1">(U5*$J$4)/180</f>
        <v>0</v>
      </c>
      <c r="S5">
        <v>0</v>
      </c>
      <c r="T5">
        <v>-5.0000000000000001E-4</v>
      </c>
      <c r="U5" s="32">
        <v>0</v>
      </c>
    </row>
    <row r="6" spans="1:21" ht="15" thickBot="1" x14ac:dyDescent="0.35">
      <c r="B6" s="7">
        <f>(I18*(S4-T4))+(I23*(S5-T5))+(I28*(S6-T6))+(I33*(S7-T7))</f>
        <v>-4.8729543743545402E-10</v>
      </c>
      <c r="C6" s="8">
        <f>(I19*(S4-T4))+(I24*(S5-T5))+(I29*(S6-T6))+(I34*(S7-T7))</f>
        <v>6.8714064395953795E-9</v>
      </c>
      <c r="D6" s="9">
        <f>(I20*(S4-T4))+(I25*(S5-T5))+(I30*(S6-T6))+(I35*(S7-T7))</f>
        <v>20000000</v>
      </c>
      <c r="F6" s="7">
        <f>(1/2)*((I18*((S4^2)-(T4^2)))+(I23*((S5^2)-(T5^2)))+(I28*((S6^2)-(T6^2)))+(I33*((S7^2)-(T7^2))))</f>
        <v>0</v>
      </c>
      <c r="G6" s="8">
        <f>(1/2)*((I19*((S4^2)-(T4^2)))+(I24*((S5^2)-(T5^2)))+(I29*((S6^2)-(T6^2)))+(I34*((S7^2)-(T7^2))))</f>
        <v>0</v>
      </c>
      <c r="H6" s="9">
        <f>(1/2)*((I20*((S4^2)-(T4^2)))+(I25*((S5^2)-(T5^2)))+(I30*((S6^2)-(T6^2)))+(I35*((S7^2)-(T7^2))))</f>
        <v>0</v>
      </c>
      <c r="L6">
        <v>3</v>
      </c>
      <c r="M6" s="11">
        <v>140000000000</v>
      </c>
      <c r="N6" s="11">
        <v>38000000000</v>
      </c>
      <c r="O6">
        <v>0.28000000000000003</v>
      </c>
      <c r="P6">
        <f t="shared" si="0"/>
        <v>7.6000000000000012E-2</v>
      </c>
      <c r="Q6" s="11">
        <v>10000000000</v>
      </c>
      <c r="R6">
        <f t="shared" si="1"/>
        <v>0</v>
      </c>
      <c r="S6">
        <v>5.0000000000000001E-4</v>
      </c>
      <c r="T6">
        <v>0</v>
      </c>
      <c r="U6" s="32">
        <v>0</v>
      </c>
    </row>
    <row r="7" spans="1:21" ht="15" thickBot="1" x14ac:dyDescent="0.35">
      <c r="B7" t="s">
        <v>1</v>
      </c>
      <c r="F7" t="s">
        <v>2</v>
      </c>
      <c r="L7">
        <v>4</v>
      </c>
      <c r="M7" s="11">
        <v>140000000000</v>
      </c>
      <c r="N7" s="11">
        <v>38000000000</v>
      </c>
      <c r="O7">
        <v>0.28000000000000003</v>
      </c>
      <c r="P7">
        <f t="shared" si="0"/>
        <v>7.6000000000000012E-2</v>
      </c>
      <c r="Q7" s="11">
        <v>10000000000</v>
      </c>
      <c r="R7">
        <f t="shared" si="1"/>
        <v>1.5707963267948966</v>
      </c>
      <c r="S7">
        <v>1E-3</v>
      </c>
      <c r="T7">
        <v>5.0000000000000001E-4</v>
      </c>
      <c r="U7" s="31">
        <v>90</v>
      </c>
    </row>
    <row r="8" spans="1:21" x14ac:dyDescent="0.3">
      <c r="B8" s="1">
        <f>(1/2)*((G18*((S4^2)-(T4^2)))+(G23*((S5^2)-(T5^2)))+(G28*((S6^2)-(T6^2)))+(G33*((S7^2)-(T7^2))))</f>
        <v>1.8189894035458565E-12</v>
      </c>
      <c r="C8" s="2">
        <f>(1/2)*((H18*((S4^2)-(T4^2)))+(H23*((S5^2)-(T5^2)))+(H28*((S6^2)-(T6^2)))+(H33*((S7^2)-(T7^2))))</f>
        <v>0</v>
      </c>
      <c r="D8" s="3">
        <f>(1/2)*((I18*((S4^2)-(T4^2)))+(I23*((S5^2)-(T5^2)))+(I28*((S6^2)-(T6^2)))+(I33*((S7^2)-(T7^2))))</f>
        <v>0</v>
      </c>
      <c r="F8" s="1">
        <f>(1/3)*((G18*((S4^3)-(T4^3)))+(G23*((S5^3)-(T5^3)))+(G28*((S6^3)-(T6^3)))+(G33*((S7^3)-(T7^3))))</f>
        <v>34.568960819573867</v>
      </c>
      <c r="G8" s="2">
        <f>(1/3)*((H18*((S4^3)-(T4^3)))+(H23*((S5^3)-(T5^3)))+(H28*((S6^3)-(T6^3)))+(H33*((S7^3)-(T7^3))))</f>
        <v>7.2475614407934197</v>
      </c>
      <c r="H8" s="3">
        <f>(1/3)*((I18*((S4^3)-(T4^3)))+(I23*((S5^3)-(T5^3)))+(I28*((S6^3)-(T6^3)))+(I33*((S7^3)-(T7^3))))</f>
        <v>-2.8425567183734816E-16</v>
      </c>
      <c r="L8">
        <v>5</v>
      </c>
      <c r="P8" t="e">
        <f t="shared" si="0"/>
        <v>#DIV/0!</v>
      </c>
      <c r="R8">
        <f t="shared" ref="R8:R13" si="2">(T8*3.14)/180</f>
        <v>0</v>
      </c>
    </row>
    <row r="9" spans="1:21" x14ac:dyDescent="0.3">
      <c r="B9" s="4">
        <f>(1/2)*((H18*((S4^2)-(T4^2)))+(H23*((S5^2)-(T5^2)))+(H28*((S6^2)-(T6^2)))+(H33*((S7^2)-(T7^2))))</f>
        <v>0</v>
      </c>
      <c r="C9" s="5">
        <f>(1/2)*((H19*((S4^2)-(T4^2)))+(H24*((S5^2)-(T5^2)))+(H29*((S6^2)-(T6^2)))+(H34*((S7^2)-(T7^2))))</f>
        <v>0</v>
      </c>
      <c r="D9" s="6">
        <f>(1/2)*((I19*((S4^2)-(T4^2)))+(I24*((S5^2)-(T5^2)))+(I29*((S6^2)-(T6^2)))+(I34*((S7^2)-(T7^2))))</f>
        <v>0</v>
      </c>
      <c r="F9" s="4">
        <f>(1/3)*((H18*((S4^3)-(T4^3)))+(H23*((S5^3)-(T5^3)))+(H28*((S6^3)-(T6^3)))+(H33*((S7^3)-(T7^3))))</f>
        <v>7.2475614407934197</v>
      </c>
      <c r="G9" s="5">
        <f>(1/3)*((H19*((S4^3)-(T4^3)))+(H24*((S5^3)-(T5^3)))+(H29*((S6^3)-(T6^3)))+(H34*((S7^3)-(T7^3))))</f>
        <v>101.1729606016021</v>
      </c>
      <c r="H9" s="6">
        <f>(1/3)*((I19*((S4^3)-(T4^3)))+(I24*((S5^3)-(T5^3)))+(I29*((S6^3)-(T6^3)))+(I34*((S7^3)-(T7^3))))</f>
        <v>4.0083204230973049E-15</v>
      </c>
      <c r="L9">
        <v>6</v>
      </c>
      <c r="P9" t="e">
        <f t="shared" si="0"/>
        <v>#DIV/0!</v>
      </c>
      <c r="R9">
        <f t="shared" si="2"/>
        <v>0</v>
      </c>
    </row>
    <row r="10" spans="1:21" ht="15" thickBot="1" x14ac:dyDescent="0.35">
      <c r="B10" s="7">
        <f>(1/2)*((I18*((S4^2)-(T4^2)))+(I23*((S5^2)-(T5^2)))+(I28*((S6^2)-(T6^2)))+(I33*((S7^2)-(T7^2))))</f>
        <v>0</v>
      </c>
      <c r="C10" s="8">
        <f>(1/2)*((I19*((S4^2)-(T4^2)))+(I24*((S5^2)-(T5^2)))+(I29*((S6^2)-(T6^2)))+(I34*((S7^2)-(T7^2))))</f>
        <v>0</v>
      </c>
      <c r="D10" s="9">
        <f>(1/2)*((I20*((S4^2)-(T4^2)))+(I25*((S5^2)-(T5^2)))+(I30*((S6^2)-(T6^2)))+(I35*((S7^2)-(T7^2))))</f>
        <v>0</v>
      </c>
      <c r="F10" s="7">
        <f>(1/3)*((I18*((S4^3)-(T4^3)))+(I23*((S5^3)-(T5^3)))+(I28*((S6^3)-(T6^3)))+(I33*((S7^3)-(T7^3))))</f>
        <v>-2.8425567183734816E-16</v>
      </c>
      <c r="G10" s="8">
        <f>(1/3)*((I19*((S4^3)-(T4^3)))+(I24*((S5^3)-(T5^3)))+(I29*((S6^3)-(T6^3)))+(I34*((S7^3)-(T7^3))))</f>
        <v>4.0083204230973049E-15</v>
      </c>
      <c r="H10" s="9">
        <f>(1/3)*((I20*((S4^3)-(T4^3)))+(I25*((S5^3)-(T5^3)))+(I30*((S6^3)-(T6^3)))+(I35*((S7^3)-(T7^3))))</f>
        <v>6.6666666666666661</v>
      </c>
      <c r="L10">
        <v>7</v>
      </c>
      <c r="P10" t="e">
        <f t="shared" si="0"/>
        <v>#DIV/0!</v>
      </c>
      <c r="R10">
        <f t="shared" si="2"/>
        <v>0</v>
      </c>
    </row>
    <row r="11" spans="1:21" x14ac:dyDescent="0.3">
      <c r="L11">
        <v>8</v>
      </c>
      <c r="P11" t="e">
        <f t="shared" si="0"/>
        <v>#DIV/0!</v>
      </c>
      <c r="R11">
        <f t="shared" si="2"/>
        <v>0</v>
      </c>
    </row>
    <row r="12" spans="1:21" x14ac:dyDescent="0.3">
      <c r="L12">
        <v>9</v>
      </c>
      <c r="P12" t="e">
        <f t="shared" si="0"/>
        <v>#DIV/0!</v>
      </c>
      <c r="R12">
        <f t="shared" si="2"/>
        <v>0</v>
      </c>
    </row>
    <row r="13" spans="1:21" x14ac:dyDescent="0.3">
      <c r="L13">
        <v>10</v>
      </c>
      <c r="P13" t="e">
        <f t="shared" si="0"/>
        <v>#DIV/0!</v>
      </c>
      <c r="R13">
        <f t="shared" si="2"/>
        <v>0</v>
      </c>
    </row>
    <row r="16" spans="1:21" x14ac:dyDescent="0.3">
      <c r="A16" t="s">
        <v>11</v>
      </c>
    </row>
    <row r="17" spans="1:18" ht="15" thickBot="1" x14ac:dyDescent="0.35">
      <c r="A17">
        <v>1</v>
      </c>
      <c r="B17" t="s">
        <v>9</v>
      </c>
      <c r="G17" t="s">
        <v>10</v>
      </c>
      <c r="L17" t="s">
        <v>20</v>
      </c>
      <c r="P17" t="s">
        <v>21</v>
      </c>
    </row>
    <row r="18" spans="1:18" x14ac:dyDescent="0.3">
      <c r="B18" s="1">
        <f>M4/(1-(O4*P4))</f>
        <v>143043975805.13324</v>
      </c>
      <c r="C18" s="2">
        <f>(O4*N4)/(1-(O4*P4))</f>
        <v>10871342161.190128</v>
      </c>
      <c r="D18" s="3">
        <v>0</v>
      </c>
      <c r="G18" s="1">
        <f>(B18*COS(R4)^4)+(2*(C18+(2*D20))*(SIN(R4)^2)*(COS(R4)^2))+(C19*SIN(R4)^4)</f>
        <v>38826222004.25045</v>
      </c>
      <c r="H18" s="2">
        <f>((B18+C19-(4*D20))*(SIN(R4)^2)*(COS(R4)^2))+(C18*((SIN(R4)^4)+(COS(R4)^4)))</f>
        <v>10871342161.190128</v>
      </c>
      <c r="I18" s="3">
        <f>((B18-C18-(2*D20))*SIN(R4)*(COS(R4)^3))+((C18-C19+(2*D20))*(SIN(R4)^3)*COS(R4))</f>
        <v>-4.8729543743545397E-7</v>
      </c>
      <c r="L18" s="1">
        <f t="array" ref="L18:N20">MINVERSE(B4:D6)</f>
        <v>5.5625883040169903E-9</v>
      </c>
      <c r="M18" s="2">
        <v>-5.3668788134512844E-10</v>
      </c>
      <c r="N18" s="3">
        <v>3.1992122324035075E-25</v>
      </c>
      <c r="P18" s="1" t="e">
        <f t="array" ref="P18:R20">MINVERSE(F4:H6)</f>
        <v>#NUM!</v>
      </c>
      <c r="Q18" s="2" t="e">
        <v>#NUM!</v>
      </c>
      <c r="R18" s="3" t="e">
        <v>#NUM!</v>
      </c>
    </row>
    <row r="19" spans="1:18" x14ac:dyDescent="0.3">
      <c r="B19" s="4">
        <f>(O4*N4)/(1-(O4*P4))</f>
        <v>10871342161.190128</v>
      </c>
      <c r="C19" s="5">
        <f>N4/(1-(O4*P4))</f>
        <v>38826222004.25045</v>
      </c>
      <c r="D19" s="6">
        <v>0</v>
      </c>
      <c r="G19" s="4">
        <f>((B18+C19-(4*D20))*(SIN(R4)^2)*(COS(R4)^2))+(C18*((SIN(R4)^4)+(COS(R4)^4)))</f>
        <v>10871342161.190128</v>
      </c>
      <c r="H19" s="5">
        <f>(B18*SIN(R4)^4)+(2*(C18+(2*(D20))*(SIN(R4)^2)*(COS(R4)^2)))+(C19*(COS(R4)^4))</f>
        <v>164786660127.51349</v>
      </c>
      <c r="I19" s="6">
        <f>((B18-C18-(2*D20))*(SIN(R4)^3)*COS(R4))+((C18-C19+(2*D20))*SIN(R4)*(COS(R4)^3))</f>
        <v>6.8714064395953796E-6</v>
      </c>
      <c r="L19" s="4">
        <v>-5.3668788134512854E-10</v>
      </c>
      <c r="M19" s="5">
        <v>4.489212541326733E-9</v>
      </c>
      <c r="N19" s="6">
        <v>-1.5554364760545613E-24</v>
      </c>
      <c r="P19" s="4" t="e">
        <v>#NUM!</v>
      </c>
      <c r="Q19" s="5" t="e">
        <v>#NUM!</v>
      </c>
      <c r="R19" s="6" t="e">
        <v>#NUM!</v>
      </c>
    </row>
    <row r="20" spans="1:18" ht="15" thickBot="1" x14ac:dyDescent="0.35">
      <c r="B20" s="7">
        <v>0</v>
      </c>
      <c r="C20" s="8">
        <v>0</v>
      </c>
      <c r="D20" s="9">
        <f>Q4</f>
        <v>10000000000</v>
      </c>
      <c r="G20" s="7">
        <f>((B18-C18-(2*D20))*SIN(R4)*(COS(R4)^3))+((C18-C19+(2*D20))*(SIN(R4)^3)*COS(R4))</f>
        <v>-4.8729543743545397E-7</v>
      </c>
      <c r="H20" s="8">
        <f>((B18-C18-(2*D20))*(SIN(R4)^3)*COS(R4))+((C18-C19+(2*D20))*SIN(R4)*(COS(R4)^3))</f>
        <v>6.8714064395953796E-6</v>
      </c>
      <c r="I20" s="9">
        <f>((B18+C19-(2*C18)-(2*D20))*(SIN(R4)^2)*(COS(R4)^2))+(D20*((SIN(R4)^4)+(COS(R4)^4)))</f>
        <v>10000000000</v>
      </c>
      <c r="L20" s="7">
        <v>3.199212232403508E-25</v>
      </c>
      <c r="M20" s="8">
        <v>-1.5554364760545615E-24</v>
      </c>
      <c r="N20" s="9">
        <v>4.9999999999999998E-8</v>
      </c>
      <c r="P20" s="7" t="e">
        <v>#NUM!</v>
      </c>
      <c r="Q20" s="8" t="e">
        <v>#NUM!</v>
      </c>
      <c r="R20" s="9" t="e">
        <v>#NUM!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>
        <f>M5/(1-(O5*P5))</f>
        <v>143043975805.13324</v>
      </c>
      <c r="C23" s="2">
        <f>(O5*N5)/(1-(O5*P5))</f>
        <v>10871342161.190128</v>
      </c>
      <c r="D23" s="3">
        <v>0</v>
      </c>
      <c r="G23" s="1">
        <f>(B23*COS(R5)^4)+(2*(C23+(2*D25))*(SIN(R5)^2)*(COS(R5)^2))+(C24*SIN(R5)^4)</f>
        <v>143043975805.13324</v>
      </c>
      <c r="H23" s="2">
        <f>((B23+C24-(4*D25))*(SIN(R5)^2)*(COS(R5)^2))+(C23*((SIN(R5)^4)+(COS(R5)^4)))</f>
        <v>10871342161.190128</v>
      </c>
      <c r="I23" s="3">
        <f>((B23-C23-(2*D25))*SIN(R5)*(COS(R5)^3))+((C23-C24+(2*D25))*(SIN(R5)^3)*COS(R5))</f>
        <v>0</v>
      </c>
      <c r="L23" s="1" t="e">
        <f t="array" ref="L23:N25">MINVERSE(B8:D10)</f>
        <v>#NUM!</v>
      </c>
      <c r="M23" s="2" t="e">
        <v>#NUM!</v>
      </c>
      <c r="N23" s="3" t="e">
        <v>#NUM!</v>
      </c>
      <c r="P23" s="1">
        <f t="array" ref="P23:R25">MINVERSE(F8:H10)</f>
        <v>2.9368766113387741E-2</v>
      </c>
      <c r="Q23" s="2">
        <v>-2.1038421291755581E-3</v>
      </c>
      <c r="R23" s="3">
        <v>2.5171667573912835E-18</v>
      </c>
    </row>
    <row r="24" spans="1:18" x14ac:dyDescent="0.3">
      <c r="B24" s="4">
        <f>(O5*N5)/(1-(O5*P5))</f>
        <v>10871342161.190128</v>
      </c>
      <c r="C24" s="5">
        <f>N5/(1-(O5*P5))</f>
        <v>38826222004.25045</v>
      </c>
      <c r="D24" s="6">
        <v>0</v>
      </c>
      <c r="G24" s="4">
        <f>((B23+C24-(4*D25))*(SIN(R5)^2)*(COS(R5)^2))+(C23*((SIN(R5)^4)+(COS(R5)^4)))</f>
        <v>10871342161.190128</v>
      </c>
      <c r="H24" s="5">
        <f>(B23*SIN(R5)^4)+(2*(C23+(2*(D25))*(SIN(R5)^2)*(COS(R5)^2)))+(C24*(COS(R5)^4))</f>
        <v>60568906326.630707</v>
      </c>
      <c r="I24" s="6">
        <f>((B23-C23-(2*D25))*(SIN(R5)^3)*COS(R5))+((C23-C24+(2*D25))*SIN(R5)*(COS(R5)^3))</f>
        <v>0</v>
      </c>
      <c r="L24" s="4" t="e">
        <v>#NUM!</v>
      </c>
      <c r="M24" s="5" t="e">
        <v>#NUM!</v>
      </c>
      <c r="N24" s="6" t="e">
        <v>#NUM!</v>
      </c>
      <c r="P24" s="4">
        <v>-2.1038421291755581E-3</v>
      </c>
      <c r="Q24" s="5">
        <v>1.0034773313501838E-2</v>
      </c>
      <c r="R24" s="6">
        <v>-6.1230923807294627E-18</v>
      </c>
    </row>
    <row r="25" spans="1:18" ht="15" thickBot="1" x14ac:dyDescent="0.35">
      <c r="B25" s="7">
        <v>0</v>
      </c>
      <c r="C25" s="8">
        <v>0</v>
      </c>
      <c r="D25" s="9">
        <f>Q5</f>
        <v>10000000000</v>
      </c>
      <c r="G25" s="7">
        <f>((B23-C23-(2*D25))*SIN(R5)*(COS(R5)^3))+((C23-C24+(2*D25))*(SIN(R5)^3)*COS(R5))</f>
        <v>0</v>
      </c>
      <c r="H25" s="8">
        <f>((B23-C23-(2*D25))*(SIN(R5)^3)*COS(R5))+((C23-C24+(2*D25))*SIN(R5)*(COS(R5)^3))</f>
        <v>0</v>
      </c>
      <c r="I25" s="9">
        <f>((B23+C24-(2*C23)-(2*D25))*(SIN(R5)^2)*(COS(R5)^2))+(D25*((SIN(R5)^4)+(COS(R5)^4)))</f>
        <v>10000000000</v>
      </c>
      <c r="L25" s="7" t="e">
        <v>#NUM!</v>
      </c>
      <c r="M25" s="8" t="e">
        <v>#NUM!</v>
      </c>
      <c r="N25" s="9" t="e">
        <v>#NUM!</v>
      </c>
      <c r="P25" s="7">
        <v>2.5171667573912831E-18</v>
      </c>
      <c r="Q25" s="8">
        <v>-6.1230923807294627E-18</v>
      </c>
      <c r="R25" s="9">
        <v>0.15000000000000002</v>
      </c>
    </row>
    <row r="27" spans="1:18" ht="15" thickBot="1" x14ac:dyDescent="0.35">
      <c r="A27">
        <v>3</v>
      </c>
    </row>
    <row r="28" spans="1:18" x14ac:dyDescent="0.3">
      <c r="B28" s="1">
        <f>M6/(1-(O6*P6))</f>
        <v>143043975805.13324</v>
      </c>
      <c r="C28" s="2">
        <f>(O6*N6)/(1-(O6*P6))</f>
        <v>10871342161.190128</v>
      </c>
      <c r="D28" s="3">
        <v>0</v>
      </c>
      <c r="G28" s="1">
        <f>(B28*COS(R6)^4)+(2*(C28+(2*D30))*(SIN(R6)^2)*(COS(R6)^2))+(C29*SIN(R6)^4)</f>
        <v>143043975805.13324</v>
      </c>
      <c r="H28" s="2">
        <f>((B28+C29-(4*D30))*(SIN(R6)^2)*(COS(R6)^2))+(C28*((SIN(R6)^4)+(COS(R6)^4)))</f>
        <v>10871342161.190128</v>
      </c>
      <c r="I28" s="3">
        <f>((B28-C28-(2*D30))*SIN(R6)*(COS(R6)^3))+((C28-C29+(2*D30))*(SIN(R6)^3)*COS(R6))</f>
        <v>0</v>
      </c>
    </row>
    <row r="29" spans="1:18" x14ac:dyDescent="0.3">
      <c r="B29" s="4">
        <f>(O6*N6)/(1-(O6*P6))</f>
        <v>10871342161.190128</v>
      </c>
      <c r="C29" s="5">
        <f>N6/(1-(O6*P6))</f>
        <v>38826222004.25045</v>
      </c>
      <c r="D29" s="6">
        <v>0</v>
      </c>
      <c r="G29" s="4">
        <f>((B28+C29-(4*D30))*(SIN(R6)^2)*(COS(R6)^2))+(C28*((SIN(R6)^4)+(COS(R6)^4)))</f>
        <v>10871342161.190128</v>
      </c>
      <c r="H29" s="5">
        <f>(B28*SIN(R6)^4)+(2*(C28+(2*(D30))*(SIN(R6)^2)*(COS(R6)^2)))+(C29*(COS(R6)^4))</f>
        <v>60568906326.630707</v>
      </c>
      <c r="I29" s="6">
        <f>((B28-C28-(2*D30))*(SIN(R6)^3)*COS(R6))+((C28-C29+(2*D30))*SIN(R6)*(COS(R6)^3))</f>
        <v>0</v>
      </c>
    </row>
    <row r="30" spans="1:18" ht="15" thickBot="1" x14ac:dyDescent="0.35">
      <c r="B30" s="7">
        <v>0</v>
      </c>
      <c r="C30" s="8">
        <v>0</v>
      </c>
      <c r="D30" s="9">
        <f>Q6</f>
        <v>10000000000</v>
      </c>
      <c r="G30" s="7">
        <f>((B28-C28-(2*D30))*SIN(R6)*(COS(R6)^3))+((C28-C29+(2*D30))*(SIN(R6)^3)*COS(R6))</f>
        <v>0</v>
      </c>
      <c r="H30" s="8">
        <f>((B28-C28-(2*D30))*(SIN(R6)^3)*COS(R6))+((C28-C29+(2*D30))*SIN(R6)*(COS(R6)^3))</f>
        <v>0</v>
      </c>
      <c r="I30" s="9">
        <f>((B28+C29-(2*C28)-(2*D30))*(SIN(R6)^2)*(COS(R6)^2))+(D30*((SIN(R6)^4)+(COS(R6)^4)))</f>
        <v>10000000000</v>
      </c>
    </row>
    <row r="32" spans="1:18" ht="15" thickBot="1" x14ac:dyDescent="0.35">
      <c r="A32">
        <v>4</v>
      </c>
    </row>
    <row r="33" spans="1:9" x14ac:dyDescent="0.3">
      <c r="B33" s="1">
        <f>M7/(1-(O7*P7))</f>
        <v>143043975805.13324</v>
      </c>
      <c r="C33" s="2">
        <f>(O7*N7)/(1-(O7*P7))</f>
        <v>10871342161.190128</v>
      </c>
      <c r="D33" s="3">
        <v>0</v>
      </c>
      <c r="G33" s="1">
        <f>(B33*COS(R7)^4)+(2*(C33+(2*D35))*(SIN(R7)^2)*(COS(R7)^2))+(C34*SIN(R7)^4)</f>
        <v>38826222004.25045</v>
      </c>
      <c r="H33" s="2">
        <f>((B33+C34-(4*D35))*(SIN(R7)^2)*(COS(R7)^2))+(C33*((SIN(R7)^4)+(COS(R7)^4)))</f>
        <v>10871342161.190128</v>
      </c>
      <c r="I33" s="3">
        <f>((B33-C33-(2*D35))*SIN(R7)*(COS(R7)^3))+((C33-C34+(2*D35))*(SIN(R7)^3)*COS(R7))</f>
        <v>-4.8729543743545397E-7</v>
      </c>
    </row>
    <row r="34" spans="1:9" x14ac:dyDescent="0.3">
      <c r="B34" s="4">
        <f>(O7*N7)/(1-(O7*P7))</f>
        <v>10871342161.190128</v>
      </c>
      <c r="C34" s="5">
        <f>N7/(1-(O7*P7))</f>
        <v>38826222004.25045</v>
      </c>
      <c r="D34" s="6">
        <v>0</v>
      </c>
      <c r="G34" s="4">
        <f>((B33+C34-(4*D35))*(SIN(R7)^2)*(COS(R7)^2))+(C33*((SIN(R7)^4)+(COS(R7)^4)))</f>
        <v>10871342161.190128</v>
      </c>
      <c r="H34" s="5">
        <f>(B33*SIN(R7)^4)+(2*(C33+(2*(D35))*(SIN(R7)^2)*(COS(R7)^2)))+(C34*(COS(R7)^4))</f>
        <v>164786660127.51349</v>
      </c>
      <c r="I34" s="6">
        <f>((B33-C33-(2*D35))*(SIN(R7)^3)*COS(R7))+((C33-C34+(2*D35))*SIN(R7)*(COS(R7)^3))</f>
        <v>6.8714064395953796E-6</v>
      </c>
    </row>
    <row r="35" spans="1:9" ht="15" thickBot="1" x14ac:dyDescent="0.35">
      <c r="B35" s="7">
        <v>0</v>
      </c>
      <c r="C35" s="8">
        <v>0</v>
      </c>
      <c r="D35" s="9">
        <f>Q7</f>
        <v>10000000000</v>
      </c>
      <c r="G35" s="7">
        <f>((B33-C33-(2*D35))*SIN(R7)*(COS(R7)^3))+((C33-C34+(2*D35))*(SIN(R7)^3)*COS(R7))</f>
        <v>-4.8729543743545397E-7</v>
      </c>
      <c r="H35" s="8">
        <f>((B33-C33-(2*D35))*(SIN(R7)^3)*COS(R7))+((C33-C34+(2*D35))*SIN(R7)*(COS(R7)^3))</f>
        <v>6.8714064395953796E-6</v>
      </c>
      <c r="I35" s="9">
        <f>((B33+C34-(2*C33)-(2*D35))*(SIN(R7)^2)*(COS(R7)^2))+(D35*((SIN(R7)^4)+(COS(R7)^4)))</f>
        <v>10000000000</v>
      </c>
    </row>
    <row r="37" spans="1:9" ht="15" thickBot="1" x14ac:dyDescent="0.35">
      <c r="A37">
        <v>5</v>
      </c>
    </row>
    <row r="38" spans="1:9" x14ac:dyDescent="0.3">
      <c r="B38" s="1" t="e">
        <f>M8/(1-(O8*P8))</f>
        <v>#DIV/0!</v>
      </c>
      <c r="C38" s="2" t="e">
        <f>(O8*N8)/(1-(O8*P8))</f>
        <v>#DIV/0!</v>
      </c>
      <c r="D38" s="3">
        <v>0</v>
      </c>
      <c r="G38" s="1" t="e">
        <f>(B38*COS(R8)^4)+(2*(C38+(2*D40))*(SIN(R8)^2)*(COS(R8)^2))+(C39*SIN(R8)^4)</f>
        <v>#DIV/0!</v>
      </c>
      <c r="H38" s="2" t="e">
        <f>((B38+C39-(4*D40))*(SIN(R8)^2)*(COS(R8)^2))+(C38*((SIN(R8)^4)+(COS(R8)^4)))</f>
        <v>#DIV/0!</v>
      </c>
      <c r="I38" s="3" t="e">
        <f>((B38-C38-(2*D40))*SIN(R8)*(COS(R8)^3))+((C38-C39+(2*D40))*(SIN(R8)^3)*COS(R8))</f>
        <v>#DIV/0!</v>
      </c>
    </row>
    <row r="39" spans="1:9" x14ac:dyDescent="0.3">
      <c r="B39" s="4" t="e">
        <f>(O8*N8)/(1-(O8*P8))</f>
        <v>#DIV/0!</v>
      </c>
      <c r="C39" s="5" t="e">
        <f>N8/(1-(O8*P8))</f>
        <v>#DIV/0!</v>
      </c>
      <c r="D39" s="6">
        <v>0</v>
      </c>
      <c r="G39" s="4" t="e">
        <f>((B38+C39-(4*D40))*(SIN(R8)^2)*(COS(R8)^2))+(C38*((SIN(R8)^4)+(COS(R8)^4)))</f>
        <v>#DIV/0!</v>
      </c>
      <c r="H39" s="5" t="e">
        <f>(B38*SIN(R8)^4)+(2*(C38+(2*(D40))*(SIN(R8)^2)*(COS(R8)^2)))+(C39*(COS(R8)^4))</f>
        <v>#DIV/0!</v>
      </c>
      <c r="I39" s="6" t="e">
        <f>((B38-C38-(2*D40))*(SIN(R8)^3)*COS(R8))+((C38-C39+(2*D40))*SIN(R8)*(COS(R8)^3))</f>
        <v>#DIV/0!</v>
      </c>
    </row>
    <row r="40" spans="1:9" ht="15" thickBot="1" x14ac:dyDescent="0.35">
      <c r="B40" s="7">
        <v>0</v>
      </c>
      <c r="C40" s="8">
        <v>0</v>
      </c>
      <c r="D40" s="9">
        <f>Q8</f>
        <v>0</v>
      </c>
      <c r="G40" s="7" t="e">
        <f>((B38-C38-(2*D40))*SIN(R8)*(COS(R8)^3))+((C38-C39+(2*D40))*(SIN(R8)^3)*COS(R8))</f>
        <v>#DIV/0!</v>
      </c>
      <c r="H40" s="8" t="e">
        <f>((B38-C38-(2*D40))*(SIN(R8)^3)*COS(R8))+((C38-C39+(2*D40))*SIN(R8)*(COS(R8)^3))</f>
        <v>#DIV/0!</v>
      </c>
      <c r="I40" s="9" t="e">
        <f>((B38+C39-(2*C38)-(2*D40))*(SIN(R8)^2)*(COS(R8)^2))+(D40*((SIN(R8)^4)+(COS(R8)^4)))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62CB-756F-4F5B-BFE0-59987B6DFA56}">
  <dimension ref="A3:U40"/>
  <sheetViews>
    <sheetView workbookViewId="0">
      <selection activeCell="H10" sqref="H10"/>
    </sheetView>
  </sheetViews>
  <sheetFormatPr defaultRowHeight="14.4" x14ac:dyDescent="0.3"/>
  <sheetData>
    <row r="3" spans="1:21" ht="15" thickBot="1" x14ac:dyDescent="0.35">
      <c r="B3" t="s">
        <v>0</v>
      </c>
      <c r="F3" t="s">
        <v>1</v>
      </c>
      <c r="L3" t="s">
        <v>7</v>
      </c>
      <c r="M3" t="s">
        <v>3</v>
      </c>
      <c r="N3" t="s">
        <v>4</v>
      </c>
      <c r="O3" t="s">
        <v>5</v>
      </c>
      <c r="P3" t="s">
        <v>6</v>
      </c>
      <c r="Q3" t="s">
        <v>8</v>
      </c>
      <c r="R3" t="s">
        <v>14</v>
      </c>
      <c r="S3" t="s">
        <v>18</v>
      </c>
      <c r="T3" t="s">
        <v>19</v>
      </c>
      <c r="U3" t="s">
        <v>13</v>
      </c>
    </row>
    <row r="4" spans="1:21" x14ac:dyDescent="0.3">
      <c r="B4" s="12">
        <f>(G18*(S4-T4))+(G23*(S5-T5))+(G28*(S6-T6))+(G33*(S7-T7))+(G38*(S8-T8))</f>
        <v>245017573.97417039</v>
      </c>
      <c r="C4" s="15">
        <f>(H18*(S4-T4))+(H23*(S5-T5))+(H28*(S6-T6))+(H33*(S7-T7))+(H38*(S8-T8))</f>
        <v>36758623.508255683</v>
      </c>
      <c r="D4" s="16">
        <f>(I18*(S4-T4))+(I23*(S5-T5))+(I28*(S6-T6))+(I33*(S7-T7))+(I38*(S8-T8))</f>
        <v>0</v>
      </c>
      <c r="F4" s="12">
        <f>(1/2)*((G18*((S4^2)-(T4^2)))+(G23*((S5^2)-(T5^2)))+(G28*((S6^2)-(T6^2)))+(G33*((S7^2)-(T7^2)))+(G38*((S8^2)-(T8^2))))</f>
        <v>9.0949470177292824E-13</v>
      </c>
      <c r="G4" s="15">
        <f>(1/2)*((H18*((S4^2)-(T4^2)))+(H23*((S5^2)-(T5^2)))+(H28*((S6^2)-(T6^2)))+(H33*((S7^2)-(T7^2)))+(H38*((S8^2)-(T8^2))))</f>
        <v>-9.0949470177292824E-13</v>
      </c>
      <c r="H4" s="16">
        <f>(1/2)*((I18*((S4^2)-(T4^2)))+(I23*((S5^2)-(T5^2)))+(I28*((S6^2)-(T6^2)))+(I33*((S7^2)-(T7^2)))+(I38*((S8^2)-(T8^2))))</f>
        <v>0</v>
      </c>
      <c r="J4">
        <f>PI()</f>
        <v>3.1415926535897931</v>
      </c>
      <c r="L4">
        <v>1</v>
      </c>
      <c r="M4" s="11">
        <v>140000000000</v>
      </c>
      <c r="N4" s="11">
        <v>38000000000</v>
      </c>
      <c r="O4">
        <v>0.28000000000000003</v>
      </c>
      <c r="P4">
        <f>(O4/M4)*N4</f>
        <v>7.6000000000000012E-2</v>
      </c>
      <c r="Q4" s="11">
        <v>10000000000</v>
      </c>
      <c r="R4">
        <f>(U4*$J$4)/180</f>
        <v>0.78539816339744828</v>
      </c>
      <c r="S4" s="11">
        <v>-8.7500000000000002E-4</v>
      </c>
      <c r="T4" s="11">
        <v>-1E-3</v>
      </c>
      <c r="U4">
        <v>45</v>
      </c>
    </row>
    <row r="5" spans="1:21" x14ac:dyDescent="0.3">
      <c r="B5" s="13">
        <f>(H18*(S4-T4))+(H23*(S5-T5))+(H28*(S6-T6))+(H33*(S7-T7))+(H38*(S8-T8))</f>
        <v>36758623.508255683</v>
      </c>
      <c r="C5">
        <f>(H19*(S4-T4))+(H24*(S5-T5))+(H29*(S6-T6))+(H34*(S7-T7))</f>
        <v>119807197.15546837</v>
      </c>
      <c r="D5" s="17">
        <f>(I19*(S4-T4))+(I24*(S5-T5))+(I29*(S6-T6))+(I34*(S7-T7))+(I39*(S8-T8))</f>
        <v>0</v>
      </c>
      <c r="F5" s="13">
        <f>(1/2)*((H18*((S4^2)-(T4^2)))+(H23*((S5^2)-(T5^2)))+(H28*((S6^2)-(T6^2)))+(H33*((S7^2)-(T7^2)))+(H38*((S8^2)-(T8^2))))</f>
        <v>-9.0949470177292824E-13</v>
      </c>
      <c r="G5" s="11">
        <f>(1/2)*((H19*((S4^2)-(T4^2)))+(H24*((S5^2)-(T5^2)))+(H29*((S6^2)-(T6^2)))+(H34*((S7^2)-(T7^2)))+(H39*((S8^2)-(T8^2))))</f>
        <v>1.8189894035458565E-12</v>
      </c>
      <c r="H5" s="17">
        <f>(1/2)*((I19*((S4^2)-(T4^2)))+(I24*((S5^2)-(T5^2)))+(I29*((S6^2)-(T6^2)))+(I34*((S7^2)-(T7^2)))+(I39*((S8^2)-(T8^2))))</f>
        <v>0</v>
      </c>
      <c r="L5">
        <v>2</v>
      </c>
      <c r="M5" s="11">
        <v>140000000000</v>
      </c>
      <c r="N5" s="11">
        <v>38000000000</v>
      </c>
      <c r="O5">
        <v>0.28000000000000003</v>
      </c>
      <c r="P5">
        <f t="shared" ref="P5:P13" si="0">(O5/M5)*N5</f>
        <v>7.6000000000000012E-2</v>
      </c>
      <c r="Q5" s="11">
        <v>10000000000</v>
      </c>
      <c r="R5">
        <f t="shared" ref="R5:R7" si="1">(U5*$J$4)/180</f>
        <v>-0.78539816339744828</v>
      </c>
      <c r="S5">
        <v>-7.5000000000000002E-4</v>
      </c>
      <c r="T5" s="11">
        <v>-8.7500000000000002E-4</v>
      </c>
      <c r="U5">
        <v>-45</v>
      </c>
    </row>
    <row r="6" spans="1:21" ht="15" thickBot="1" x14ac:dyDescent="0.35">
      <c r="B6" s="14">
        <f>(I18*(S4-T4))+(I23*(S5-T5))+(I28*(S6-T6))+(I33*(S7-T7))+(I38*(S8-T8))</f>
        <v>0</v>
      </c>
      <c r="C6" s="18">
        <f>(I19*(S4-T4))+(I24*(S5-T5))+(I29*(S6-T6))+(I34*(S7-T7))+(I39*(S8-T8))</f>
        <v>0</v>
      </c>
      <c r="D6" s="19">
        <f>(I20*(S4-T4))+(I25*(S5-T5))+(I30*(S6-T6))+(I35*(S7-T7))+(I40*(S8-T8))</f>
        <v>35015939.185875431</v>
      </c>
      <c r="F6" s="14">
        <f>(1/2)*((I18*((S4^2)-(T4^2)))+(I23*((S5^2)-(T5^2)))+(I28*((S6^2)-(T6^2)))+(I33*((S7^2)-(T7^2)))+(I38*((S8^2)-(T8^2))))</f>
        <v>0</v>
      </c>
      <c r="G6" s="18">
        <f>(1/2)*((I19*((S4^2)-(T4^2)))+(I24*((S5^2)-(T5^2)))+(I29*((S6^2)-(T6^2)))+(I34*((S7^2)-(T7^2)))+(I39*((S8^2)-(T8^2))))</f>
        <v>0</v>
      </c>
      <c r="H6" s="19">
        <f>(1/2)*((I20*((S4^2)-(T4^2)))+(I25*((S5^2)-(T5^2)))+(I30*((S6^2)-(T6^2)))+(I35*((S7^2)-(T7^2)))+(I40*((S8^2)-(T8^2))))</f>
        <v>9.0949470177292824E-13</v>
      </c>
      <c r="L6">
        <v>3</v>
      </c>
      <c r="M6" s="11">
        <v>140000000000</v>
      </c>
      <c r="N6" s="11">
        <v>38000000000</v>
      </c>
      <c r="O6">
        <v>0.28000000000000003</v>
      </c>
      <c r="P6">
        <f t="shared" si="0"/>
        <v>7.6000000000000012E-2</v>
      </c>
      <c r="Q6" s="11">
        <v>10000000000</v>
      </c>
      <c r="R6">
        <f t="shared" si="1"/>
        <v>0</v>
      </c>
      <c r="S6">
        <v>7.5000000000000002E-4</v>
      </c>
      <c r="T6">
        <v>-7.5000000000000002E-4</v>
      </c>
      <c r="U6">
        <v>0</v>
      </c>
    </row>
    <row r="7" spans="1:21" ht="15" thickBot="1" x14ac:dyDescent="0.35">
      <c r="B7" t="s">
        <v>1</v>
      </c>
      <c r="F7" t="s">
        <v>2</v>
      </c>
      <c r="L7">
        <v>4</v>
      </c>
      <c r="M7" s="11">
        <v>140000000000</v>
      </c>
      <c r="N7" s="11">
        <v>38000000000</v>
      </c>
      <c r="O7">
        <v>0.28000000000000003</v>
      </c>
      <c r="P7">
        <f t="shared" si="0"/>
        <v>7.6000000000000012E-2</v>
      </c>
      <c r="Q7" s="11">
        <v>10000000000</v>
      </c>
      <c r="R7">
        <f t="shared" si="1"/>
        <v>-0.78539816339744828</v>
      </c>
      <c r="S7" s="11">
        <v>8.7500000000000002E-4</v>
      </c>
      <c r="T7">
        <v>7.5000000000000002E-4</v>
      </c>
      <c r="U7">
        <v>-45</v>
      </c>
    </row>
    <row r="8" spans="1:21" x14ac:dyDescent="0.3">
      <c r="B8" s="12">
        <f t="shared" ref="B8:D10" si="2">F4</f>
        <v>9.0949470177292824E-13</v>
      </c>
      <c r="C8" s="15">
        <f t="shared" si="2"/>
        <v>-9.0949470177292824E-13</v>
      </c>
      <c r="D8" s="16">
        <f t="shared" si="2"/>
        <v>0</v>
      </c>
      <c r="F8" s="12">
        <f>(1/3)*((G18*((S4^3)-(T4^3)))+(G23*((S5^3)-(T5^3)))+(G28*((S6^3)-(T6^3)))+(G33*((S7^3)-(T7^3)))+(G38*((S8^3)-(T8^3))))</f>
        <v>63.704234442264735</v>
      </c>
      <c r="G8" s="15">
        <f>(1/3)*((H18*((S4^3)-(T4^3)))+(H23*((S5^3)-(T5^3)))+(H28*((S6^3)-(T6^3)))+(H33*((S7^3)-(T7^3)))+(H38*((S8^3)-(T8^3))))</f>
        <v>18.822347896572396</v>
      </c>
      <c r="H8" s="16">
        <f>(1/3)*((I18*((S4^3)-(T4^3)))+(I23*((S5^3)-(T5^3)))+(I28*((S6^3)-(T6^3)))+(I33*((S7^3)-(T7^3)))+(I38*((S8^3)-(T8^3))))</f>
        <v>1.4248521027464438</v>
      </c>
      <c r="L8">
        <v>5</v>
      </c>
      <c r="M8" s="11">
        <v>140000000000</v>
      </c>
      <c r="N8" s="11">
        <v>38000000000</v>
      </c>
      <c r="O8">
        <v>0.28000000000000003</v>
      </c>
      <c r="P8">
        <f t="shared" si="0"/>
        <v>7.6000000000000012E-2</v>
      </c>
      <c r="Q8" s="11">
        <v>10000000000</v>
      </c>
      <c r="R8">
        <f>(U8*J4)/180</f>
        <v>0.78539816339744828</v>
      </c>
      <c r="S8" s="11">
        <v>1E-3</v>
      </c>
      <c r="T8" s="11">
        <v>8.7500000000000002E-4</v>
      </c>
      <c r="U8">
        <v>45</v>
      </c>
    </row>
    <row r="9" spans="1:21" x14ac:dyDescent="0.3">
      <c r="B9" s="13">
        <f t="shared" si="2"/>
        <v>-9.0949470177292824E-13</v>
      </c>
      <c r="C9" s="11">
        <f t="shared" si="2"/>
        <v>1.8189894035458565E-12</v>
      </c>
      <c r="D9" s="17">
        <f t="shared" si="2"/>
        <v>0</v>
      </c>
      <c r="F9" s="13">
        <f>(1/3)*((H18*((S4^3)-(T4^3)))+(H23*((S5^3)-(T5^3)))+(H28*((S6^3)-(T6^3)))+(H33*((S7^3)-(T7^3)))+(H38*((S8^3)-(T8^3))))</f>
        <v>18.822347896572396</v>
      </c>
      <c r="G9" s="11">
        <f>(1/3)*((H19*((S4^3)-(T4^3)))+(H24*((S5^3)-(T5^3)))+(H29*((S6^3)-(T6^3)))+(H34*((S7^3)-(T7^3)))+(H39*((S8^3)-(T8^3))))</f>
        <v>46.793115838373929</v>
      </c>
      <c r="H9" s="17">
        <f>(1/3)*((I19*((S4^3)-(T4^3)))+(I24*((S5^3)-(T5^3)))+(I29*((S6^3)-(T6^3)))+(I34*((S7^3)-(T7^3)))+(I39*((S8^3)-(T8^3))))</f>
        <v>1.424852102746442</v>
      </c>
      <c r="L9">
        <v>6</v>
      </c>
      <c r="P9" t="e">
        <f t="shared" si="0"/>
        <v>#DIV/0!</v>
      </c>
      <c r="R9">
        <f t="shared" ref="R9:R13" si="3">(T9*3.14)/180</f>
        <v>0</v>
      </c>
    </row>
    <row r="10" spans="1:21" ht="15" thickBot="1" x14ac:dyDescent="0.35">
      <c r="B10" s="14">
        <f t="shared" si="2"/>
        <v>0</v>
      </c>
      <c r="C10" s="18">
        <f t="shared" si="2"/>
        <v>0</v>
      </c>
      <c r="D10" s="19">
        <f t="shared" si="2"/>
        <v>9.0949470177292824E-13</v>
      </c>
      <c r="F10" s="14">
        <f>(1/3)*((I18*((S4^3)-(T4^3)))+(I23*((S5^3)-(T5^3)))+(I28*((S6^3)-(T6^3)))+(I33*((S7^3)-(T7^3)))+(I38*((S8^3)-(T8^3))))</f>
        <v>1.4248521027464438</v>
      </c>
      <c r="G10" s="18">
        <f>(1/3)*((I19*((S4^3)-(T4^3)))+(I24*((S5^3)-(T5^3)))+(I29*((S6^3)-(T6^3)))+(I34*((S7^3)-(T7^3)))+(I39*((S8^3)-(T8^3))))</f>
        <v>1.424852102746442</v>
      </c>
      <c r="H10" s="19">
        <f>(1/3)*((I20*((S4^3)-(T4^3)))+(I25*((S5^3)-(T5^3)))+(I30*((S6^3)-(T6^3)))+(I35*((S7^3)-(T7^3)))+(I40*((S8^3)-(T8^3))))</f>
        <v>18.241453122445648</v>
      </c>
      <c r="L10">
        <v>7</v>
      </c>
      <c r="P10" t="e">
        <f t="shared" si="0"/>
        <v>#DIV/0!</v>
      </c>
      <c r="R10">
        <f t="shared" si="3"/>
        <v>0</v>
      </c>
    </row>
    <row r="11" spans="1:21" x14ac:dyDescent="0.3">
      <c r="L11">
        <v>8</v>
      </c>
      <c r="P11" t="e">
        <f t="shared" si="0"/>
        <v>#DIV/0!</v>
      </c>
      <c r="R11">
        <f t="shared" si="3"/>
        <v>0</v>
      </c>
    </row>
    <row r="12" spans="1:21" x14ac:dyDescent="0.3">
      <c r="L12">
        <v>9</v>
      </c>
      <c r="P12" t="e">
        <f t="shared" si="0"/>
        <v>#DIV/0!</v>
      </c>
      <c r="R12">
        <f t="shared" si="3"/>
        <v>0</v>
      </c>
    </row>
    <row r="13" spans="1:21" x14ac:dyDescent="0.3">
      <c r="L13">
        <v>10</v>
      </c>
      <c r="P13" t="e">
        <f t="shared" si="0"/>
        <v>#DIV/0!</v>
      </c>
      <c r="R13">
        <f t="shared" si="3"/>
        <v>0</v>
      </c>
    </row>
    <row r="16" spans="1:21" x14ac:dyDescent="0.3">
      <c r="A16" t="s">
        <v>11</v>
      </c>
    </row>
    <row r="17" spans="1:18" ht="15" thickBot="1" x14ac:dyDescent="0.35">
      <c r="A17">
        <v>1</v>
      </c>
      <c r="B17" t="s">
        <v>9</v>
      </c>
      <c r="G17" t="s">
        <v>10</v>
      </c>
      <c r="L17" t="s">
        <v>20</v>
      </c>
      <c r="P17" t="s">
        <v>21</v>
      </c>
    </row>
    <row r="18" spans="1:18" x14ac:dyDescent="0.3">
      <c r="B18" s="1">
        <f>M4/(1-(O4*P4))</f>
        <v>143043975805.13324</v>
      </c>
      <c r="C18" s="2">
        <f>(O4*N4)/(1-(O4*P4))</f>
        <v>10871342161.190128</v>
      </c>
      <c r="D18" s="3">
        <v>0</v>
      </c>
      <c r="G18" s="1">
        <f>(B18*COS(R4)^4)+(2*(C18+(2*D20))*(SIN(R4)^2)*(COS(R4)^2))+(C19*SIN(R4)^4)</f>
        <v>60903220532.940994</v>
      </c>
      <c r="H18" s="2">
        <f>((B18+C19-(4*D20))*(SIN(R4)^2)*(COS(R4)^2))+(C18*((SIN(R4)^4)+(COS(R4)^4)))</f>
        <v>40903220532.940987</v>
      </c>
      <c r="I18" s="3">
        <f>((B18-C18-(2*D20))*SIN(R4)*(COS(R4)^3))+((C18-C19+(2*D20))*(SIN(R4)^3)*COS(R4))</f>
        <v>26054438450.220703</v>
      </c>
      <c r="L18" s="1">
        <f t="array" ref="L18:N20">MINVERSE(B4:D6)</f>
        <v>4.2782673461276867E-9</v>
      </c>
      <c r="M18" s="2">
        <v>-1.3126358213680473E-9</v>
      </c>
      <c r="N18" s="3">
        <v>0</v>
      </c>
      <c r="P18" s="1">
        <f t="array" ref="P18:R20">MINVERSE(F4:H6)</f>
        <v>2199023255552</v>
      </c>
      <c r="Q18" s="2">
        <v>1099511627776</v>
      </c>
      <c r="R18" s="3">
        <v>0</v>
      </c>
    </row>
    <row r="19" spans="1:18" x14ac:dyDescent="0.3">
      <c r="B19" s="4">
        <f>(O4*N4)/(1-(O4*P4))</f>
        <v>10871342161.190128</v>
      </c>
      <c r="C19">
        <f>N4/(1-(O4*P4))</f>
        <v>38826222004.25045</v>
      </c>
      <c r="D19" s="6">
        <v>0</v>
      </c>
      <c r="G19" s="4">
        <f>((B18+C19-(4*D20))*(SIN(R4)^2)*(COS(R4)^2))+(C18*((SIN(R4)^4)+(COS(R4)^4)))</f>
        <v>40903220532.940987</v>
      </c>
      <c r="H19">
        <f>(B18*SIN(R4)^4)+(2*(C18+(2*(D20))*(SIN(R4)^2)*(COS(R4)^2)))+(C19*(COS(R4)^4))</f>
        <v>77210233774.726166</v>
      </c>
      <c r="I19" s="6">
        <f>((B18-C18-(2*D20))*(SIN(R4)^3)*COS(R4))+((C18-C19+(2*D20))*SIN(R4)*(COS(R4)^3))</f>
        <v>26054438450.220692</v>
      </c>
      <c r="L19" s="4">
        <v>-1.3126358213680475E-9</v>
      </c>
      <c r="M19">
        <v>8.7494800884194833E-9</v>
      </c>
      <c r="N19" s="6">
        <v>0</v>
      </c>
      <c r="P19" s="4">
        <v>1099511627776</v>
      </c>
      <c r="Q19">
        <v>1099511627776</v>
      </c>
      <c r="R19" s="6">
        <v>0</v>
      </c>
    </row>
    <row r="20" spans="1:18" ht="15" thickBot="1" x14ac:dyDescent="0.35">
      <c r="B20" s="7">
        <v>0</v>
      </c>
      <c r="C20" s="8">
        <v>0</v>
      </c>
      <c r="D20" s="9">
        <f>Q4</f>
        <v>10000000000</v>
      </c>
      <c r="G20" s="7">
        <f>((B18-C18-(2*D20))*SIN(R4)*(COS(R4)^3))+((C18-C19+(2*D20))*(SIN(R4)^3)*COS(R4))</f>
        <v>26054438450.220703</v>
      </c>
      <c r="H20" s="8">
        <f>((B18-C18-(2*D20))*(SIN(R4)^3)*COS(R4))+((C18-C19+(2*D20))*SIN(R4)*(COS(R4)^3))</f>
        <v>26054438450.220692</v>
      </c>
      <c r="I20" s="9">
        <f>((B18+C19-(2*C18)-(2*D20))*(SIN(R4)^2)*(COS(R4)^2))+(D20*((SIN(R4)^4)+(COS(R4)^4)))</f>
        <v>40031878371.750862</v>
      </c>
      <c r="L20" s="7">
        <v>0</v>
      </c>
      <c r="M20" s="8">
        <v>0</v>
      </c>
      <c r="N20" s="9">
        <v>2.8558422913967574E-8</v>
      </c>
      <c r="P20" s="7">
        <v>0</v>
      </c>
      <c r="Q20" s="8">
        <v>0</v>
      </c>
      <c r="R20" s="9">
        <v>1099511627776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>
        <f>M5/(1-(O5*P5))</f>
        <v>143043975805.13324</v>
      </c>
      <c r="C23" s="2">
        <f>(O5*N5)/(1-(O5*P5))</f>
        <v>10871342161.190128</v>
      </c>
      <c r="D23" s="3">
        <v>0</v>
      </c>
      <c r="G23" s="1">
        <f>(B23*COS(R5)^4)+(2*(C23+(2*D25))*(SIN(R5)^2)*(COS(R5)^2))+(C24*SIN(R5)^4)</f>
        <v>60903220532.940994</v>
      </c>
      <c r="H23" s="2">
        <f>((B23+C24-(4*D25))*(SIN(R5)^2)*(COS(R5)^2))+(C23*((SIN(R5)^4)+(COS(R5)^4)))</f>
        <v>40903220532.940987</v>
      </c>
      <c r="I23" s="3">
        <f>((B23-C23-(2*D25))*SIN(R5)*(COS(R5)^3))+((C23-C24+(2*D25))*(SIN(R5)^3)*COS(R5))</f>
        <v>-26054438450.220703</v>
      </c>
      <c r="L23" s="1">
        <f t="array" ref="L23:N25">MINVERSE(B8:D10)</f>
        <v>2199023255552</v>
      </c>
      <c r="M23" s="2">
        <v>1099511627776</v>
      </c>
      <c r="N23" s="3">
        <v>0</v>
      </c>
      <c r="P23" s="1">
        <f t="array" ref="P23:R25">MINVERSE(F8:H10)</f>
        <v>1.7827486647641708E-2</v>
      </c>
      <c r="Q23" s="2">
        <v>-7.1456302988021107E-3</v>
      </c>
      <c r="R23" s="3">
        <v>-8.3436694312207242E-4</v>
      </c>
    </row>
    <row r="24" spans="1:18" x14ac:dyDescent="0.3">
      <c r="B24" s="4">
        <f>(O5*N5)/(1-(O5*P5))</f>
        <v>10871342161.190128</v>
      </c>
      <c r="C24">
        <f>N5/(1-(O5*P5))</f>
        <v>38826222004.25045</v>
      </c>
      <c r="D24" s="6">
        <v>0</v>
      </c>
      <c r="G24" s="4">
        <f>((B23+C24-(4*D25))*(SIN(R5)^2)*(COS(R5)^2))+(C23*((SIN(R5)^4)+(COS(R5)^4)))</f>
        <v>40903220532.940987</v>
      </c>
      <c r="H24">
        <f>(B23*SIN(R5)^4)+(2*(C23+(2*(D25))*(SIN(R5)^2)*(COS(R5)^2)))+(C24*(COS(R5)^4))</f>
        <v>77210233774.726166</v>
      </c>
      <c r="I24" s="6">
        <f>((B23-C23-(2*D25))*(SIN(R5)^3)*COS(R5))+((C23-C24+(2*D25))*SIN(R5)*(COS(R5)^3))</f>
        <v>-26054438450.220692</v>
      </c>
      <c r="L24" s="4">
        <v>1099511627776</v>
      </c>
      <c r="M24">
        <v>1099511627776</v>
      </c>
      <c r="N24" s="6">
        <v>0</v>
      </c>
      <c r="P24" s="4">
        <v>-7.1456302988021133E-3</v>
      </c>
      <c r="Q24">
        <v>2.428573405796703E-2</v>
      </c>
      <c r="R24" s="6">
        <v>-1.3388249674302275E-3</v>
      </c>
    </row>
    <row r="25" spans="1:18" ht="15" thickBot="1" x14ac:dyDescent="0.35">
      <c r="B25" s="7">
        <v>0</v>
      </c>
      <c r="C25" s="8">
        <v>0</v>
      </c>
      <c r="D25" s="9">
        <f>Q5</f>
        <v>10000000000</v>
      </c>
      <c r="G25" s="7">
        <f>((B23-C23-(2*D25))*SIN(R5)*(COS(R5)^3))+((C23-C24+(2*D25))*(SIN(R5)^3)*COS(R5))</f>
        <v>-26054438450.220703</v>
      </c>
      <c r="H25" s="8">
        <f>((B23-C23-(2*D25))*(SIN(R5)^3)*COS(R5))+((C23-C24+(2*D25))*SIN(R5)*(COS(R5)^3))</f>
        <v>-26054438450.220692</v>
      </c>
      <c r="I25" s="9">
        <f>((B23+C24-(2*C23)-(2*D25))*(SIN(R5)^2)*(COS(R5)^2))+(D25*((SIN(R5)^4)+(COS(R5)^4)))</f>
        <v>40031878371.750862</v>
      </c>
      <c r="L25" s="7">
        <v>0</v>
      </c>
      <c r="M25" s="8">
        <v>0</v>
      </c>
      <c r="N25" s="9">
        <v>1099511627776</v>
      </c>
      <c r="P25" s="7">
        <v>-8.3436694312207242E-4</v>
      </c>
      <c r="Q25" s="8">
        <v>-1.3388249674302277E-3</v>
      </c>
      <c r="R25" s="9">
        <v>5.4989943527532739E-2</v>
      </c>
    </row>
    <row r="27" spans="1:18" ht="15" thickBot="1" x14ac:dyDescent="0.35">
      <c r="A27">
        <v>3</v>
      </c>
    </row>
    <row r="28" spans="1:18" x14ac:dyDescent="0.3">
      <c r="B28" s="1">
        <f>M6/(1-(O6*P6))</f>
        <v>143043975805.13324</v>
      </c>
      <c r="C28" s="2">
        <f>(O6*N6)/(1-(O6*P6))</f>
        <v>10871342161.190128</v>
      </c>
      <c r="D28" s="3">
        <v>0</v>
      </c>
      <c r="G28" s="1">
        <f>(B28*COS(R6)^4)+(2*(C28+(2*D30))*(SIN(R6)^2)*(COS(R6)^2))+(C29*SIN(R6)^4)</f>
        <v>143043975805.13324</v>
      </c>
      <c r="H28" s="2">
        <f>((B28+C29-(4*D30))*(SIN(R6)^2)*(COS(R6)^2))+(C28*((SIN(R6)^4)+(COS(R6)^4)))</f>
        <v>10871342161.190128</v>
      </c>
      <c r="I28" s="3">
        <f>((B28-C28-(2*D30))*SIN(R6)*(COS(R6)^3))+((C28-C29+(2*D30))*(SIN(R6)^3)*COS(R6))</f>
        <v>0</v>
      </c>
    </row>
    <row r="29" spans="1:18" x14ac:dyDescent="0.3">
      <c r="B29" s="4">
        <f>(O6*N6)/(1-(O6*P6))</f>
        <v>10871342161.190128</v>
      </c>
      <c r="C29">
        <f>N6/(1-(O6*P6))</f>
        <v>38826222004.25045</v>
      </c>
      <c r="D29" s="6">
        <v>0</v>
      </c>
      <c r="G29" s="4">
        <f>((B28+C29-(4*D30))*(SIN(R6)^2)*(COS(R6)^2))+(C28*((SIN(R6)^4)+(COS(R6)^4)))</f>
        <v>10871342161.190128</v>
      </c>
      <c r="H29">
        <f>(B28*SIN(R6)^4)+(2*(C28+(2*(D30))*(SIN(R6)^2)*(COS(R6)^2)))+(C29*(COS(R6)^4))</f>
        <v>60568906326.630707</v>
      </c>
      <c r="I29" s="6">
        <f>((B28-C28-(2*D30))*(SIN(R6)^3)*COS(R6))+((C28-C29+(2*D30))*SIN(R6)*(COS(R6)^3))</f>
        <v>0</v>
      </c>
    </row>
    <row r="30" spans="1:18" ht="15" thickBot="1" x14ac:dyDescent="0.35">
      <c r="B30" s="7">
        <v>0</v>
      </c>
      <c r="C30" s="8">
        <v>0</v>
      </c>
      <c r="D30" s="9">
        <f>Q6</f>
        <v>10000000000</v>
      </c>
      <c r="G30" s="7">
        <f>((B28-C28-(2*D30))*SIN(R6)*(COS(R6)^3))+((C28-C29+(2*D30))*(SIN(R6)^3)*COS(R6))</f>
        <v>0</v>
      </c>
      <c r="H30" s="8">
        <f>((B28-C28-(2*D30))*(SIN(R6)^3)*COS(R6))+((C28-C29+(2*D30))*SIN(R6)*(COS(R6)^3))</f>
        <v>0</v>
      </c>
      <c r="I30" s="9">
        <f>((B28+C29-(2*C28)-(2*D30))*(SIN(R6)^2)*(COS(R6)^2))+(D30*((SIN(R6)^4)+(COS(R6)^4)))</f>
        <v>10000000000</v>
      </c>
    </row>
    <row r="32" spans="1:18" ht="15" thickBot="1" x14ac:dyDescent="0.35">
      <c r="A32">
        <v>4</v>
      </c>
    </row>
    <row r="33" spans="1:9" x14ac:dyDescent="0.3">
      <c r="B33" s="1">
        <f>M7/(1-(O7*P7))</f>
        <v>143043975805.13324</v>
      </c>
      <c r="C33" s="2">
        <f>(O7*N7)/(1-(O7*P7))</f>
        <v>10871342161.190128</v>
      </c>
      <c r="D33" s="3">
        <v>0</v>
      </c>
      <c r="G33" s="1">
        <f>(B33*COS(R7)^4)+(2*(C33+(2*D35))*(SIN(R7)^2)*(COS(R7)^2))+(C34*SIN(R7)^4)</f>
        <v>60903220532.940994</v>
      </c>
      <c r="H33" s="2">
        <f>((B33+C34-(4*D35))*(SIN(R7)^2)*(COS(R7)^2))+(C33*((SIN(R7)^4)+(COS(R7)^4)))</f>
        <v>40903220532.940987</v>
      </c>
      <c r="I33" s="3">
        <f>((B33-C33-(2*D35))*SIN(R7)*(COS(R7)^3))+((C33-C34+(2*D35))*(SIN(R7)^3)*COS(R7))</f>
        <v>-26054438450.220703</v>
      </c>
    </row>
    <row r="34" spans="1:9" x14ac:dyDescent="0.3">
      <c r="B34" s="4">
        <f>(O7*N7)/(1-(O7*P7))</f>
        <v>10871342161.190128</v>
      </c>
      <c r="C34">
        <f>N7/(1-(O7*P7))</f>
        <v>38826222004.25045</v>
      </c>
      <c r="D34" s="6">
        <v>0</v>
      </c>
      <c r="G34" s="4">
        <f>((B33+C34-(4*D35))*(SIN(R7)^2)*(COS(R7)^2))+(C33*((SIN(R7)^4)+(COS(R7)^4)))</f>
        <v>40903220532.940987</v>
      </c>
      <c r="H34">
        <f>(B33*SIN(R7)^4)+(2*(C33+(2*(D35))*(SIN(R7)^2)*(COS(R7)^2)))+(C34*(COS(R7)^4))</f>
        <v>77210233774.726166</v>
      </c>
      <c r="I34" s="6">
        <f>((B33-C33-(2*D35))*(SIN(R7)^3)*COS(R7))+((C33-C34+(2*D35))*SIN(R7)*(COS(R7)^3))</f>
        <v>-26054438450.220692</v>
      </c>
    </row>
    <row r="35" spans="1:9" ht="15" thickBot="1" x14ac:dyDescent="0.35">
      <c r="B35" s="7">
        <v>0</v>
      </c>
      <c r="C35" s="8">
        <v>0</v>
      </c>
      <c r="D35" s="9">
        <f>Q7</f>
        <v>10000000000</v>
      </c>
      <c r="G35" s="7">
        <f>((B33-C33-(2*D35))*SIN(R7)*(COS(R7)^3))+((C33-C34+(2*D35))*(SIN(R7)^3)*COS(R7))</f>
        <v>-26054438450.220703</v>
      </c>
      <c r="H35" s="8">
        <f>((B33-C33-(2*D35))*(SIN(R7)^3)*COS(R7))+((C33-C34+(2*D35))*SIN(R7)*(COS(R7)^3))</f>
        <v>-26054438450.220692</v>
      </c>
      <c r="I35" s="9">
        <f>((B33+C34-(2*C33)-(2*D35))*(SIN(R7)^2)*(COS(R7)^2))+(D35*((SIN(R7)^4)+(COS(R7)^4)))</f>
        <v>40031878371.750862</v>
      </c>
    </row>
    <row r="37" spans="1:9" ht="15" thickBot="1" x14ac:dyDescent="0.35">
      <c r="A37">
        <v>5</v>
      </c>
    </row>
    <row r="38" spans="1:9" x14ac:dyDescent="0.3">
      <c r="B38" s="1">
        <f>M8/(1-(O8*P8))</f>
        <v>143043975805.13324</v>
      </c>
      <c r="C38" s="2">
        <f>(O8*N8)/(1-(O8*P8))</f>
        <v>10871342161.190128</v>
      </c>
      <c r="D38" s="3">
        <v>0</v>
      </c>
      <c r="G38" s="1">
        <f>(B38*COS(R8)^4)+(2*(C38+(2*D40))*(SIN(R8)^2)*(COS(R8)^2))+(C39*SIN(R8)^4)</f>
        <v>60903220532.940994</v>
      </c>
      <c r="H38" s="2">
        <f>((B38+C39-(4*D40))*(SIN(R8)^2)*(COS(R8)^2))+(C38*((SIN(R8)^4)+(COS(R8)^4)))</f>
        <v>40903220532.940987</v>
      </c>
      <c r="I38" s="3">
        <f>((B38-C38-(2*D40))*SIN(R8)*(COS(R8)^3))+((C38-C39+(2*D40))*(SIN(R8)^3)*COS(R8))</f>
        <v>26054438450.220703</v>
      </c>
    </row>
    <row r="39" spans="1:9" x14ac:dyDescent="0.3">
      <c r="B39" s="4">
        <f>(O8*N8)/(1-(O8*P8))</f>
        <v>10871342161.190128</v>
      </c>
      <c r="C39">
        <f>N8/(1-(O8*P8))</f>
        <v>38826222004.25045</v>
      </c>
      <c r="D39" s="6">
        <v>0</v>
      </c>
      <c r="G39" s="4">
        <f>((B38+C39-(4*D40))*(SIN(R8)^2)*(COS(R8)^2))+(C38*((SIN(R8)^4)+(COS(R8)^4)))</f>
        <v>40903220532.940987</v>
      </c>
      <c r="H39">
        <f>(B38*SIN(R8)^4)+(2*(C38+(2*(D40))*(SIN(R8)^2)*(COS(R8)^2)))+(C39*(COS(R8)^4))</f>
        <v>77210233774.726166</v>
      </c>
      <c r="I39" s="6">
        <f>((B38-C38-(2*D40))*(SIN(R8)^3)*COS(R8))+((C38-C39+(2*D40))*SIN(R8)*(COS(R8)^3))</f>
        <v>26054438450.220692</v>
      </c>
    </row>
    <row r="40" spans="1:9" ht="15" thickBot="1" x14ac:dyDescent="0.35">
      <c r="B40" s="7">
        <v>0</v>
      </c>
      <c r="C40" s="8">
        <v>0</v>
      </c>
      <c r="D40" s="9">
        <f>Q8</f>
        <v>10000000000</v>
      </c>
      <c r="G40" s="7">
        <f>((B38-C38-(2*D40))*SIN(R8)*(COS(R8)^3))+((C38-C39+(2*D40))*(SIN(R8)^3)*COS(R8))</f>
        <v>26054438450.220703</v>
      </c>
      <c r="H40" s="8">
        <f>((B38-C38-(2*D40))*(SIN(R8)^3)*COS(R8))+((C38-C39+(2*D40))*SIN(R8)*(COS(R8)^3))</f>
        <v>26054438450.220692</v>
      </c>
      <c r="I40" s="9">
        <f>((B38+C39-(2*C38)-(2*D40))*(SIN(R8)^2)*(COS(R8)^2))+(D40*((SIN(R8)^4)+(COS(R8)^4)))</f>
        <v>40031878371.750862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F977-5BC4-4FAC-A6BA-79309FC4015C}">
  <dimension ref="A3:W25"/>
  <sheetViews>
    <sheetView workbookViewId="0">
      <selection activeCell="L17" sqref="L17"/>
    </sheetView>
  </sheetViews>
  <sheetFormatPr defaultRowHeight="14.4" x14ac:dyDescent="0.3"/>
  <cols>
    <col min="18" max="18" width="9.6640625" bestFit="1" customWidth="1"/>
  </cols>
  <sheetData>
    <row r="3" spans="2:23" ht="15" thickBot="1" x14ac:dyDescent="0.35">
      <c r="B3" t="s">
        <v>0</v>
      </c>
      <c r="F3" t="s">
        <v>1</v>
      </c>
      <c r="P3" t="s">
        <v>13</v>
      </c>
      <c r="R3" t="s">
        <v>14</v>
      </c>
      <c r="S3" t="s">
        <v>12</v>
      </c>
      <c r="U3" t="s">
        <v>15</v>
      </c>
      <c r="V3" t="s">
        <v>16</v>
      </c>
      <c r="W3" t="s">
        <v>17</v>
      </c>
    </row>
    <row r="4" spans="2:23" x14ac:dyDescent="0.3">
      <c r="B4" s="1">
        <f>(G18*(W4-V4))+(G23*(V4-U4))</f>
        <v>119.67150928690847</v>
      </c>
      <c r="C4" s="2">
        <f>(H18*(W4-V4))+(H23*(V4-U4))</f>
        <v>18.949991534281327</v>
      </c>
      <c r="D4" s="3">
        <f>(I18*(W4-V4))+(I23*(V4-U4))</f>
        <v>13.510626677797321</v>
      </c>
      <c r="F4" s="1">
        <f>0.5*((G18*((W4^2)-(V4^2)))+(G23*((V4^2)-(U4^2))))</f>
        <v>100.82122678272881</v>
      </c>
      <c r="G4" s="2">
        <f>0.5*((H18*((W4^2)-(V4^2)))+(H23*((V4^2)-(U4^2))))</f>
        <v>-33.374978835703324</v>
      </c>
      <c r="H4" s="3">
        <f>0.5*((I18*((W4^2)-(V4^2)))+(I23*((V4^2)-(U4^2))))</f>
        <v>-33.776566694493305</v>
      </c>
      <c r="P4">
        <v>0</v>
      </c>
      <c r="Q4">
        <v>1</v>
      </c>
      <c r="R4">
        <f>(P4*3.14)/180</f>
        <v>0</v>
      </c>
      <c r="S4">
        <v>5</v>
      </c>
      <c r="U4">
        <v>-4</v>
      </c>
      <c r="V4">
        <v>-1</v>
      </c>
      <c r="W4">
        <v>4</v>
      </c>
    </row>
    <row r="5" spans="2:23" x14ac:dyDescent="0.3">
      <c r="B5" s="4">
        <f>(G19*(W4-V4))+(G24*(V4-U4))</f>
        <v>18.949991534281327</v>
      </c>
      <c r="C5" s="5">
        <f>(H19*(W4-V4))+(H24*(V4-U4))</f>
        <v>29.628507644528874</v>
      </c>
      <c r="D5" s="6">
        <f>(I19*(W4-V4))+(I24*(V4-U4))</f>
        <v>13.489364761362221</v>
      </c>
      <c r="F5" s="4">
        <f>0.5*((G19*((W4^2)-(V4^2)))+(G24*((V4^2)-(U4^2))))</f>
        <v>-33.374978835703324</v>
      </c>
      <c r="G5" s="5">
        <f>0.5*((H19*((W4^2)-(V4^2)))+(H24*((V4^2)-(U4^2))))</f>
        <v>-34.071269111322181</v>
      </c>
      <c r="H5" s="6">
        <f>0.5*((I19*((W4^2)-(V4^2)))+(I24*((V4^2)-(U4^2))))</f>
        <v>-33.723411903405555</v>
      </c>
      <c r="P5">
        <v>45</v>
      </c>
      <c r="Q5">
        <v>2</v>
      </c>
      <c r="R5">
        <f>(P5*3.14)/180</f>
        <v>0.78500000000000003</v>
      </c>
      <c r="S5">
        <v>3</v>
      </c>
    </row>
    <row r="6" spans="2:23" ht="15" thickBot="1" x14ac:dyDescent="0.35">
      <c r="B6" s="7">
        <f>(G20*(W4-V4))+(G25*(V4-U4))</f>
        <v>13.510626677797321</v>
      </c>
      <c r="C6" s="8">
        <f>(H20*(W4-V4))+(H25*(V4-U4))</f>
        <v>13.489364761362221</v>
      </c>
      <c r="D6" s="9">
        <f>(I20*(W4-V4))+(I25*(V4-U4))</f>
        <v>18.949991534281331</v>
      </c>
      <c r="F6" s="7">
        <f>0.5*((G20*((W4^2)-(V4^2)))+(G25*((V4^2)-(U4^2))))</f>
        <v>-33.776566694493305</v>
      </c>
      <c r="G6" s="8">
        <f>0.5*((H20*((W4^2)-(V4^2)))+(H25*((V4^2)-(U4^2))))</f>
        <v>-33.723411903405555</v>
      </c>
      <c r="H6" s="9">
        <f>0.5*((I20*((W4^2)-(V4^2)))+(I25*((V4^2)-(U4^2))))</f>
        <v>-33.374978835703331</v>
      </c>
    </row>
    <row r="7" spans="2:23" ht="15" thickBot="1" x14ac:dyDescent="0.35">
      <c r="B7" t="s">
        <v>1</v>
      </c>
      <c r="F7" t="s">
        <v>2</v>
      </c>
    </row>
    <row r="8" spans="2:23" x14ac:dyDescent="0.3">
      <c r="B8" s="1">
        <f t="shared" ref="B8:D10" si="0">F4</f>
        <v>100.82122678272881</v>
      </c>
      <c r="C8" s="2">
        <f t="shared" si="0"/>
        <v>-33.374978835703324</v>
      </c>
      <c r="D8" s="3">
        <f t="shared" si="0"/>
        <v>-33.776566694493305</v>
      </c>
      <c r="F8" s="1">
        <f>(1/3)*((G18*((W4^3)-(V4^3)))+(G23*((V4^3)-(U4^3))))</f>
        <v>571.03389834169252</v>
      </c>
      <c r="G8" s="2">
        <f>(1/3)*((H18*((W4^3)-(V4^3)))+(H23*((V4^3)-(U4^3))))</f>
        <v>123.31660740663597</v>
      </c>
      <c r="H8" s="3">
        <f>(1/3)*((I18*((W4^3)-(V4^3)))+(I23*((V4^3)-(U4^3))))</f>
        <v>94.574386744581233</v>
      </c>
    </row>
    <row r="9" spans="2:23" x14ac:dyDescent="0.3">
      <c r="B9" s="4">
        <f t="shared" si="0"/>
        <v>-33.374978835703324</v>
      </c>
      <c r="C9" s="5">
        <f t="shared" si="0"/>
        <v>-34.071269111322181</v>
      </c>
      <c r="D9" s="6">
        <f t="shared" si="0"/>
        <v>-33.723411903405555</v>
      </c>
      <c r="F9" s="4">
        <f>(1/3)*((G19*((W4^3)-(V4^3)))+(G24*((V4^3)-(U4^3))))</f>
        <v>123.31660740663597</v>
      </c>
      <c r="G9" s="5">
        <f>(1/3)*((H19*((W4^3)-(V4^3)))+(H24*((V4^3)-(U4^3))))</f>
        <v>180.73288684503544</v>
      </c>
      <c r="H9" s="6">
        <f>(1/3)*((I19*((W4^3)-(V4^3)))+(I24*((V4^3)-(U4^3))))</f>
        <v>94.425553329535546</v>
      </c>
    </row>
    <row r="10" spans="2:23" ht="15" thickBot="1" x14ac:dyDescent="0.35">
      <c r="B10" s="7">
        <f t="shared" si="0"/>
        <v>-33.776566694493305</v>
      </c>
      <c r="C10" s="8">
        <f t="shared" si="0"/>
        <v>-33.723411903405555</v>
      </c>
      <c r="D10" s="9">
        <f t="shared" si="0"/>
        <v>-33.374978835703331</v>
      </c>
      <c r="F10" s="7">
        <f>(1/3)*((G20*((W4^3)-(V4^3)))+(G25*((V4^3)-(U4^3))))</f>
        <v>94.574386744581233</v>
      </c>
      <c r="G10" s="8">
        <f>(1/3)*((H20*((W4^3)-(V4^3)))+(H25*((V4^3)-(U4^3))))</f>
        <v>94.425553329535546</v>
      </c>
      <c r="H10" s="9">
        <f>(1/3)*((I20*((W4^3)-(V4^3)))+(I25*((V4^3)-(U4^3))))</f>
        <v>123.31660740663598</v>
      </c>
    </row>
    <row r="17" spans="1:9" ht="15" thickBot="1" x14ac:dyDescent="0.35">
      <c r="B17" t="s">
        <v>9</v>
      </c>
      <c r="G17" t="s">
        <v>10</v>
      </c>
    </row>
    <row r="18" spans="1:9" x14ac:dyDescent="0.3">
      <c r="A18">
        <v>1</v>
      </c>
      <c r="B18" s="1">
        <v>20</v>
      </c>
      <c r="C18" s="2">
        <v>0.7</v>
      </c>
      <c r="D18" s="3">
        <v>0</v>
      </c>
      <c r="G18" s="1">
        <f>(B18*COS(R4)^4)+(2*(C18+(2*D20))*(SIN(R4)^2)*(COS(R4)^2))+(C19*SIN(R4)^4)</f>
        <v>20</v>
      </c>
      <c r="H18" s="2">
        <f>((B18+C19-(4*D20))*(SIN(R4)^2)*(COS(R4)^2))+(C18*((SIN(R4)^4)+(COS(R4)^4)))</f>
        <v>0.7</v>
      </c>
      <c r="I18" s="3">
        <f>((B18-C18-(2*D20))*SIN(R4)*(COS(R4)^3))+((C18-C19+(2*D20))*(SIN(R4)^3)*COS(R4))</f>
        <v>0</v>
      </c>
    </row>
    <row r="19" spans="1:9" x14ac:dyDescent="0.3">
      <c r="B19" s="4">
        <v>0.7</v>
      </c>
      <c r="C19" s="5">
        <v>2</v>
      </c>
      <c r="D19" s="6">
        <v>0</v>
      </c>
      <c r="G19" s="4">
        <f>((B18+C19-(4*D20))*(SIN(R4)^2)*(COS(R4)^2))+(C18*((SIN(R4)^4)+(COS(R4)^4)))</f>
        <v>0.7</v>
      </c>
      <c r="H19" s="5">
        <f>(B18*SIN(R4)^4)+(2*(C18+(2*(D20)))*(SIN(R4)^2)*(COS(R4)^2))+(C19*(COS(R4)^4))</f>
        <v>2</v>
      </c>
      <c r="I19" s="6">
        <f>((B18-C18-(2*D20))*(SIN(R4)^3)*COS(R4))+((C18-C19+(2*D20))*SIN(R4)*(COS(R4)^3))</f>
        <v>0</v>
      </c>
    </row>
    <row r="20" spans="1:9" ht="15" thickBot="1" x14ac:dyDescent="0.35">
      <c r="B20" s="7">
        <v>0</v>
      </c>
      <c r="C20" s="8">
        <v>0</v>
      </c>
      <c r="D20" s="9">
        <v>0.7</v>
      </c>
      <c r="G20" s="7">
        <f>((B18-C18-(2*D20))*SIN(R4)*(COS(R4)^3))+((C18-C19+(2*D20))*(SIN(R4)^3)*COS(R4))</f>
        <v>0</v>
      </c>
      <c r="H20" s="8">
        <f>((B18-C18-(2*D20))*(SIN(R4)^3)*COS(R4))+((C18-C19+(2*D20))*SIN(R4)*(COS(R4)^3))</f>
        <v>0</v>
      </c>
      <c r="I20" s="9">
        <f>((B18+C19-(2*C18)-(2*D20))*(SIN(R4)^2)*(COS(R4)^2))+(D20*((SIN(R4)^4)+(COS(R4)^4)))</f>
        <v>0.7</v>
      </c>
    </row>
    <row r="22" spans="1:9" ht="15" thickBot="1" x14ac:dyDescent="0.35"/>
    <row r="23" spans="1:9" x14ac:dyDescent="0.3">
      <c r="A23">
        <v>2</v>
      </c>
      <c r="B23" s="1">
        <v>20</v>
      </c>
      <c r="C23" s="2">
        <v>0.7</v>
      </c>
      <c r="D23" s="3">
        <v>0</v>
      </c>
      <c r="G23" s="1">
        <f>(B23*COS(R5)^4)+(2*(C23+(2*D25))*(SIN(R5)^2)*(COS(R5)^2))+(C24*SIN(R5)^4)</f>
        <v>6.5571697623028236</v>
      </c>
      <c r="H23" s="2">
        <f>((B23+C24-(4*D25))*(SIN(R5)^2)*(COS(R5)^2))+(C23*((SIN(R5)^4)+(COS(R5)^4)))</f>
        <v>5.1499971780937761</v>
      </c>
      <c r="I23" s="3">
        <f>((B23-C23-(2*D25))*SIN(R5)*(COS(R5)^3))+((C23-C24+(2*D25))*(SIN(R5)^3)*COS(R5))</f>
        <v>4.5035422259324402</v>
      </c>
    </row>
    <row r="24" spans="1:9" x14ac:dyDescent="0.3">
      <c r="B24" s="4">
        <v>0.7</v>
      </c>
      <c r="C24" s="10">
        <v>2</v>
      </c>
      <c r="D24" s="6">
        <v>0</v>
      </c>
      <c r="G24" s="4">
        <f>((B23+C24-(4*D25))*(SIN(R5)^2)*(COS(R5)^2))+(C23*((SIN(R5)^4)+(COS(R5)^4)))</f>
        <v>5.1499971780937761</v>
      </c>
      <c r="H24" s="5">
        <f>(B23*SIN(R5)^4)+(2*(C23+(2*(D25)))*(SIN(R5)^2)*(COS(R5)^2))+(C24*(COS(R5)^4))</f>
        <v>6.5428358815096246</v>
      </c>
      <c r="I24" s="6">
        <f>((B23-C23-(2*D25))*(SIN(R5)^3)*COS(R5))+((C23-C24+(2*D25))*SIN(R5)*(COS(R5)^3))</f>
        <v>4.4964549204540738</v>
      </c>
    </row>
    <row r="25" spans="1:9" ht="15" thickBot="1" x14ac:dyDescent="0.35">
      <c r="B25" s="7">
        <v>0</v>
      </c>
      <c r="C25" s="8">
        <v>0</v>
      </c>
      <c r="D25" s="9">
        <v>0.7</v>
      </c>
      <c r="G25" s="7">
        <f>((B23-C23-(2*D25))*SIN(R5)*(COS(R5)^3))+((C23-C24+(2*D25))*(SIN(R5)^3)*COS(R5))</f>
        <v>4.5035422259324402</v>
      </c>
      <c r="H25" s="8">
        <f>((B23-C23-(2*D25))*(SIN(R5)^3)*COS(R5))+((C23-C24+(2*D25))*SIN(R5)*(COS(R5)^3))</f>
        <v>4.4964549204540738</v>
      </c>
      <c r="I25" s="9">
        <f>((B23+C24-(2*C23)-(2*D25))*(SIN(R5)^2)*(COS(R5)^2))+(D25*((SIN(R5)^4)+(COS(R5)^4)))</f>
        <v>5.149997178093777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0429-43AE-4E64-A6C8-4059986AE49F}">
  <dimension ref="A3:T25"/>
  <sheetViews>
    <sheetView workbookViewId="0">
      <selection activeCell="J32" sqref="J32"/>
    </sheetView>
  </sheetViews>
  <sheetFormatPr defaultRowHeight="14.4" x14ac:dyDescent="0.3"/>
  <sheetData>
    <row r="3" spans="1:20" ht="15" thickBot="1" x14ac:dyDescent="0.35">
      <c r="B3" t="s">
        <v>0</v>
      </c>
      <c r="F3" t="s">
        <v>1</v>
      </c>
      <c r="L3" t="s">
        <v>7</v>
      </c>
      <c r="S3" t="s">
        <v>18</v>
      </c>
      <c r="T3" t="s">
        <v>19</v>
      </c>
    </row>
    <row r="4" spans="1:20" x14ac:dyDescent="0.3">
      <c r="B4" s="1">
        <f>(G18*(S4-T4))</f>
        <v>612240000</v>
      </c>
      <c r="C4" s="2">
        <f>(H18*(S4-T4))</f>
        <v>43440000</v>
      </c>
      <c r="D4" s="3">
        <f>(I18*(S4-T4))</f>
        <v>0</v>
      </c>
      <c r="F4" s="1">
        <f>(1/2)*((G18*((S4^2)-(T4^2))))</f>
        <v>0</v>
      </c>
      <c r="G4" s="2">
        <f>(1/2)*((H18*((S4^2)-(T4^2))))</f>
        <v>0</v>
      </c>
      <c r="H4" s="3">
        <f>(1/2)*((I18*((S4^2)-(T4^2))))</f>
        <v>0</v>
      </c>
      <c r="J4">
        <f>PI()</f>
        <v>3.1415926535897931</v>
      </c>
      <c r="L4">
        <v>1</v>
      </c>
      <c r="M4" s="11"/>
      <c r="N4" s="11"/>
      <c r="Q4" s="11"/>
      <c r="S4">
        <v>7.5000000000000002E-4</v>
      </c>
      <c r="T4">
        <v>-7.5000000000000002E-4</v>
      </c>
    </row>
    <row r="5" spans="1:20" x14ac:dyDescent="0.3">
      <c r="B5" s="4">
        <f>(H18*(S4-T4))</f>
        <v>43440000</v>
      </c>
      <c r="C5">
        <f>(H19*(S4-T4))</f>
        <v>136380000</v>
      </c>
      <c r="D5" s="6">
        <f>(I19*(S4-T4))</f>
        <v>0</v>
      </c>
      <c r="F5" s="4">
        <f>(1/2)*((H18*((S4^2)-(T4^2))))</f>
        <v>0</v>
      </c>
      <c r="G5">
        <f>(1/2)*((H19*((S4^2)-(T4^2))))</f>
        <v>0</v>
      </c>
      <c r="H5" s="6">
        <f>(1/2)*((I19*((S4^2)-(T4^2))))</f>
        <v>0</v>
      </c>
      <c r="M5" s="11"/>
      <c r="N5" s="11"/>
      <c r="Q5" s="11"/>
      <c r="T5" t="s">
        <v>24</v>
      </c>
    </row>
    <row r="6" spans="1:20" ht="15" thickBot="1" x14ac:dyDescent="0.35">
      <c r="B6" s="7">
        <f>(I18*(S4-T4))</f>
        <v>0</v>
      </c>
      <c r="C6" s="8">
        <f>(I19*(S4-T4))</f>
        <v>0</v>
      </c>
      <c r="D6" s="9">
        <f>(I20*(S4-T4))</f>
        <v>46515000</v>
      </c>
      <c r="F6" s="7">
        <f>(1/2)*((I18*((S4^2)-(T4^2))))</f>
        <v>0</v>
      </c>
      <c r="G6" s="8">
        <f>(1/2)*((I19*((S4^2)-(T4^2))))</f>
        <v>0</v>
      </c>
      <c r="H6" s="9">
        <f>(1/2)*((I20*((S4^2)-(T4^2))))</f>
        <v>0</v>
      </c>
      <c r="M6" s="11"/>
      <c r="N6" s="11"/>
      <c r="Q6" s="11"/>
    </row>
    <row r="7" spans="1:20" ht="15" thickBot="1" x14ac:dyDescent="0.35">
      <c r="B7" t="s">
        <v>1</v>
      </c>
      <c r="F7" t="s">
        <v>2</v>
      </c>
      <c r="M7" s="11"/>
      <c r="N7" s="11"/>
      <c r="Q7" s="11"/>
    </row>
    <row r="8" spans="1:20" x14ac:dyDescent="0.3">
      <c r="B8" s="1">
        <f t="shared" ref="B8:D10" si="0">F4</f>
        <v>0</v>
      </c>
      <c r="C8" s="2">
        <f t="shared" si="0"/>
        <v>0</v>
      </c>
      <c r="D8" s="3">
        <f t="shared" si="0"/>
        <v>0</v>
      </c>
      <c r="F8" s="1">
        <f>(1/3)*((G18*((S4^3)-(T4^3))))</f>
        <v>114.79499999999999</v>
      </c>
      <c r="G8" s="2">
        <f>(1/3)*((H18*((S4^3)-(T4^3))))</f>
        <v>8.1449999999999996</v>
      </c>
      <c r="H8" s="3">
        <f>(1/3)*((I18*((S4^3)-(T4^3))))</f>
        <v>0</v>
      </c>
    </row>
    <row r="9" spans="1:20" x14ac:dyDescent="0.3">
      <c r="B9" s="4">
        <f t="shared" si="0"/>
        <v>0</v>
      </c>
      <c r="C9">
        <f t="shared" si="0"/>
        <v>0</v>
      </c>
      <c r="D9" s="6">
        <f t="shared" si="0"/>
        <v>0</v>
      </c>
      <c r="F9" s="4">
        <f>(1/3)*((H18*((S4^3)-(T4^3))))</f>
        <v>8.1449999999999996</v>
      </c>
      <c r="G9">
        <f>(1/3)*((H19*((S4^3)-(T4^3))))</f>
        <v>25.571249999999999</v>
      </c>
      <c r="H9" s="6">
        <f>(1/3)*((I19*((S4^3)-(T4^3))))</f>
        <v>0</v>
      </c>
    </row>
    <row r="10" spans="1:20" ht="15" thickBot="1" x14ac:dyDescent="0.35">
      <c r="B10" s="7">
        <f t="shared" si="0"/>
        <v>0</v>
      </c>
      <c r="C10" s="8">
        <f t="shared" si="0"/>
        <v>0</v>
      </c>
      <c r="D10" s="9">
        <f t="shared" si="0"/>
        <v>0</v>
      </c>
      <c r="F10" s="7">
        <f>(1/3)*((I18*((S4^3)-(T4^3))))</f>
        <v>0</v>
      </c>
      <c r="G10" s="8">
        <f>(1/3)*((I19*((S4^3)-(T4^3))))</f>
        <v>0</v>
      </c>
      <c r="H10" s="9">
        <f>(1/3)*((I20*((S4^3)-(T4^3))))</f>
        <v>8.7215624999999992</v>
      </c>
    </row>
    <row r="16" spans="1:20" x14ac:dyDescent="0.3">
      <c r="A16" t="s">
        <v>11</v>
      </c>
    </row>
    <row r="17" spans="2:18" ht="15" thickBot="1" x14ac:dyDescent="0.35">
      <c r="B17" s="5"/>
      <c r="C17" s="5"/>
      <c r="D17" s="5"/>
      <c r="G17" t="s">
        <v>10</v>
      </c>
      <c r="L17" t="s">
        <v>20</v>
      </c>
      <c r="P17" t="s">
        <v>21</v>
      </c>
    </row>
    <row r="18" spans="2:18" x14ac:dyDescent="0.3">
      <c r="B18" s="5"/>
      <c r="C18" s="5"/>
      <c r="D18" s="5"/>
      <c r="G18" s="12">
        <v>408160000000</v>
      </c>
      <c r="H18" s="15">
        <v>28960000000</v>
      </c>
      <c r="I18" s="3">
        <v>0</v>
      </c>
      <c r="L18" s="1">
        <f t="array" ref="L18:N20">MINVERSE(B4:D6)</f>
        <v>1.6711134606196856E-9</v>
      </c>
      <c r="M18" s="2">
        <v>-5.3228602969144408E-10</v>
      </c>
      <c r="N18" s="3">
        <v>0</v>
      </c>
      <c r="P18" s="1" t="e">
        <f t="array" ref="P18:R20">MINVERSE(F4:H6)</f>
        <v>#NUM!</v>
      </c>
      <c r="Q18" s="2" t="e">
        <v>#NUM!</v>
      </c>
      <c r="R18" s="3" t="e">
        <v>#NUM!</v>
      </c>
    </row>
    <row r="19" spans="2:18" x14ac:dyDescent="0.3">
      <c r="B19" s="5"/>
      <c r="C19" s="5"/>
      <c r="D19" s="5"/>
      <c r="G19" s="13">
        <v>28960000000</v>
      </c>
      <c r="H19" s="11">
        <v>90920000000</v>
      </c>
      <c r="I19" s="6">
        <v>0</v>
      </c>
      <c r="L19" s="4">
        <v>-5.3228602969144408E-10</v>
      </c>
      <c r="M19">
        <v>7.5019981311760991E-9</v>
      </c>
      <c r="N19" s="6">
        <v>0</v>
      </c>
      <c r="P19" s="4" t="e">
        <v>#NUM!</v>
      </c>
      <c r="Q19" t="e">
        <v>#NUM!</v>
      </c>
      <c r="R19" s="6" t="e">
        <v>#NUM!</v>
      </c>
    </row>
    <row r="20" spans="2:18" ht="15" thickBot="1" x14ac:dyDescent="0.35">
      <c r="B20" s="5"/>
      <c r="C20" s="5"/>
      <c r="D20" s="5"/>
      <c r="G20" s="7">
        <v>0</v>
      </c>
      <c r="H20" s="8">
        <v>0</v>
      </c>
      <c r="I20" s="19">
        <v>31010000000</v>
      </c>
      <c r="L20" s="7">
        <v>0</v>
      </c>
      <c r="M20" s="8">
        <v>0</v>
      </c>
      <c r="N20" s="9">
        <v>2.1498441363001184E-8</v>
      </c>
      <c r="P20" s="7" t="e">
        <v>#NUM!</v>
      </c>
      <c r="Q20" s="8" t="e">
        <v>#NUM!</v>
      </c>
      <c r="R20" s="9" t="e">
        <v>#NUM!</v>
      </c>
    </row>
    <row r="21" spans="2:18" x14ac:dyDescent="0.3">
      <c r="B21" s="5"/>
      <c r="C21" s="5"/>
      <c r="D21" s="5"/>
    </row>
    <row r="22" spans="2:18" ht="15" thickBot="1" x14ac:dyDescent="0.35">
      <c r="B22" s="5"/>
      <c r="C22" s="5"/>
      <c r="D22" s="5"/>
      <c r="G22" s="5"/>
      <c r="H22" s="5"/>
      <c r="I22" s="5"/>
      <c r="L22" t="s">
        <v>21</v>
      </c>
      <c r="P22" t="s">
        <v>22</v>
      </c>
    </row>
    <row r="23" spans="2:18" x14ac:dyDescent="0.3">
      <c r="B23" s="5"/>
      <c r="C23" s="5"/>
      <c r="D23" s="5"/>
      <c r="G23" s="5"/>
      <c r="H23" s="5"/>
      <c r="I23" s="5"/>
      <c r="L23" s="1" t="e">
        <f t="array" ref="L23:N25">MINVERSE(B8:D10)</f>
        <v>#NUM!</v>
      </c>
      <c r="M23" s="2" t="e">
        <v>#NUM!</v>
      </c>
      <c r="N23" s="3" t="e">
        <v>#NUM!</v>
      </c>
      <c r="P23" s="1">
        <f t="array" ref="P23:R25">MINVERSE(F8:H10)</f>
        <v>8.91260512330499E-3</v>
      </c>
      <c r="Q23" s="2">
        <v>-2.8388588250210351E-3</v>
      </c>
      <c r="R23" s="3">
        <v>0</v>
      </c>
    </row>
    <row r="24" spans="2:18" x14ac:dyDescent="0.3">
      <c r="B24" s="5"/>
      <c r="C24" s="5"/>
      <c r="D24" s="5"/>
      <c r="G24" s="5"/>
      <c r="H24" s="5"/>
      <c r="I24" s="5"/>
      <c r="L24" s="4" t="e">
        <v>#NUM!</v>
      </c>
      <c r="M24" t="e">
        <v>#NUM!</v>
      </c>
      <c r="N24" s="6" t="e">
        <v>#NUM!</v>
      </c>
      <c r="P24" s="4">
        <v>-2.8388588250210355E-3</v>
      </c>
      <c r="Q24">
        <v>4.0010656699605858E-2</v>
      </c>
      <c r="R24" s="6">
        <v>0</v>
      </c>
    </row>
    <row r="25" spans="2:18" ht="15" thickBot="1" x14ac:dyDescent="0.35">
      <c r="B25" s="5"/>
      <c r="C25" s="5"/>
      <c r="D25" s="5"/>
      <c r="G25" s="5"/>
      <c r="H25" s="5"/>
      <c r="I25" s="5"/>
      <c r="L25" s="7" t="e">
        <v>#NUM!</v>
      </c>
      <c r="M25" s="8" t="e">
        <v>#NUM!</v>
      </c>
      <c r="N25" s="9" t="e">
        <v>#NUM!</v>
      </c>
      <c r="P25" s="7">
        <v>0</v>
      </c>
      <c r="Q25" s="8">
        <v>0</v>
      </c>
      <c r="R25" s="9">
        <v>0.11465835393600632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09A8-900A-471D-BDF7-835284853E76}">
  <dimension ref="A3:T30"/>
  <sheetViews>
    <sheetView workbookViewId="0">
      <selection activeCell="D6" sqref="D6"/>
    </sheetView>
  </sheetViews>
  <sheetFormatPr defaultRowHeight="14.4" x14ac:dyDescent="0.3"/>
  <sheetData>
    <row r="3" spans="1:20" ht="15" thickBot="1" x14ac:dyDescent="0.35">
      <c r="B3" t="s">
        <v>0</v>
      </c>
      <c r="F3" t="s">
        <v>1</v>
      </c>
      <c r="L3" t="s">
        <v>7</v>
      </c>
      <c r="S3" t="s">
        <v>18</v>
      </c>
      <c r="T3" t="s">
        <v>19</v>
      </c>
    </row>
    <row r="4" spans="1:20" x14ac:dyDescent="0.3">
      <c r="B4" s="1">
        <f>(G18*(S4-T4))+(G23*(S5-T5))+(G28*(S6-T6))</f>
        <v>205080000</v>
      </c>
      <c r="C4" s="2">
        <f>(H18*(S4-T4))+(H23*(S5-T5))+(H28*(S6-T6))</f>
        <v>14480000</v>
      </c>
      <c r="D4" s="3">
        <f>(I18*(S4-T4))+(I23*(S5-T5))+(I28*(S6-T6))</f>
        <v>0</v>
      </c>
      <c r="F4" s="1">
        <f>(1/2)*((G18*((S4^2)-(T4^2)))+(G23*((S5^2)-(T5^2)))+(G28*((S6^2)-(T6^2))))</f>
        <v>0</v>
      </c>
      <c r="G4" s="2">
        <f>(1/2)*((H18*((S4^2)-(T4^2)))+(H23*((S5^2)-(T5^2)))+(H28*((S6^2)-(T6^2))))</f>
        <v>0</v>
      </c>
      <c r="H4" s="3">
        <f>(1/2)*((I18*((S4^2)-(T4^2)))+(I23*((S5^2)-(T5^2)))+(I28*((S6^2)-(T6^2))))</f>
        <v>0</v>
      </c>
      <c r="J4">
        <f>PI()</f>
        <v>3.1415926535897931</v>
      </c>
      <c r="L4">
        <v>1</v>
      </c>
      <c r="M4" s="11"/>
      <c r="N4" s="11"/>
      <c r="Q4" s="11"/>
      <c r="S4">
        <v>-2.5000000000000001E-4</v>
      </c>
      <c r="T4">
        <v>-7.5000000000000002E-4</v>
      </c>
    </row>
    <row r="5" spans="1:20" x14ac:dyDescent="0.3">
      <c r="B5" s="4">
        <f>(H18*(S4-T4))+(H23*(S5-T5))+(H28*(S6-T6))</f>
        <v>14480000</v>
      </c>
      <c r="C5" s="5">
        <f>(H19*(S4-T4))+(H24*(S5-T5))+(H29*(S6-T6))</f>
        <v>45460000</v>
      </c>
      <c r="D5" s="6">
        <f>(I19*(S4-T4))+(I24*(S5-T5))+(I29*(S6-T6))</f>
        <v>0</v>
      </c>
      <c r="F5" s="4">
        <f>(1/2)*((H18*((S4^2)-(T4^2)))+(H23*((S5^2)-(T5^2)))+(H28*((S6^2)-(T6^2))))</f>
        <v>0</v>
      </c>
      <c r="G5" s="5">
        <f>(1/2)*((H19*((S4^2)-(T4^2)))+(H24*((S5^2)-(T5^2)))+(H29*((S6^2)-(T6^2))))</f>
        <v>0</v>
      </c>
      <c r="H5" s="6">
        <f>(1/2)*((I19*((S4^2)-(T4^2)))+(I24*((S5^2)-(T5^2)))+(I29*((S6^2)-(T6^2))))</f>
        <v>0</v>
      </c>
      <c r="L5">
        <v>2</v>
      </c>
      <c r="M5" s="11"/>
      <c r="N5" s="11"/>
      <c r="Q5" s="11"/>
      <c r="S5">
        <v>2.5000000000000001E-4</v>
      </c>
      <c r="T5">
        <v>-2.5000000000000001E-4</v>
      </c>
    </row>
    <row r="6" spans="1:20" ht="15" thickBot="1" x14ac:dyDescent="0.35">
      <c r="B6" s="7">
        <f>(I18*(S4-T4))+(I23*(S5-T5))+(I28*(S6-T6))</f>
        <v>0</v>
      </c>
      <c r="C6" s="8">
        <f>(I19*(S4-T4))+(I24*(S5-T5))+(I29*(S6-T6))</f>
        <v>0</v>
      </c>
      <c r="D6" s="9">
        <f>(I20*(S4-T4))+(I25*(S5-T5))+(I30*(S6-T6))</f>
        <v>15500000</v>
      </c>
      <c r="F6" s="7">
        <f>(1/2)*((I18*((S4^2)-(T4^2)))+(I23*((S5^2)-(T5^2)))+(I28*((S6^2)-(T6^2))))</f>
        <v>0</v>
      </c>
      <c r="G6" s="8">
        <f>(1/2)*((I19*((S4^2)-(T4^2)))+(I24*((S5^2)-(T5^2)))+(I29*((S6^2)-(T6^2))))</f>
        <v>0</v>
      </c>
      <c r="H6" s="9">
        <f>(1/2)*((I20*((S4^2)-(T4^2)))+(I25*((S5^2)-(T5^2)))+(I30*((S6^2)-(T6^2))))</f>
        <v>0</v>
      </c>
      <c r="L6">
        <v>3</v>
      </c>
      <c r="M6" s="11"/>
      <c r="N6" s="11"/>
      <c r="Q6" s="11"/>
      <c r="S6">
        <v>7.5000000000000002E-4</v>
      </c>
      <c r="T6">
        <v>2.5000000000000001E-4</v>
      </c>
    </row>
    <row r="7" spans="1:20" ht="15" thickBot="1" x14ac:dyDescent="0.35">
      <c r="B7" t="s">
        <v>1</v>
      </c>
      <c r="F7" t="s">
        <v>2</v>
      </c>
      <c r="M7" s="11"/>
      <c r="N7" s="11"/>
      <c r="Q7" s="11"/>
    </row>
    <row r="8" spans="1:20" x14ac:dyDescent="0.3">
      <c r="B8" s="1">
        <f t="shared" ref="B8:D10" si="0">F4</f>
        <v>0</v>
      </c>
      <c r="C8" s="2">
        <f t="shared" si="0"/>
        <v>0</v>
      </c>
      <c r="D8" s="3">
        <f t="shared" si="0"/>
        <v>0</v>
      </c>
      <c r="F8" s="1">
        <f>(1/3)*((G18*((S4^3)-(T4^3)))+(G23*((S5^3)-(T5^3)))+(G28*((S6^3)-(T6^3))))</f>
        <v>45.88</v>
      </c>
      <c r="G8" s="2">
        <f>(1/3)*((H18*((S4^3)-(T4^3)))+(H23*((S5^3)-(T5^3)))+(H28*((S6^3)-(T6^3))))</f>
        <v>0.73166666666666669</v>
      </c>
      <c r="H8" s="3">
        <f>(1/3)*((I18*((S4^3)-(T4^3)))+(I23*((S5^3)-(T5^3)))+(I28*((S6^3)-(T6^3))))</f>
        <v>0</v>
      </c>
    </row>
    <row r="9" spans="1:20" x14ac:dyDescent="0.3">
      <c r="B9" s="4">
        <f t="shared" si="0"/>
        <v>0</v>
      </c>
      <c r="C9" s="5">
        <f t="shared" si="0"/>
        <v>0</v>
      </c>
      <c r="D9" s="6">
        <f t="shared" si="0"/>
        <v>0</v>
      </c>
      <c r="F9" s="4">
        <f>(1/3)*((H18*((S4^3)-(T4^3)))+(H23*((S5^3)-(T5^3)))+(H28*((S6^3)-(T6^3))))</f>
        <v>0.73166666666666669</v>
      </c>
      <c r="G9" s="5">
        <f>(1/3)*((H19*((S4^3)-(T4^3)))+(H24*((S5^3)-(T5^3)))+(H29*((S6^3)-(T6^3))))</f>
        <v>2.6495833333333332</v>
      </c>
      <c r="H9" s="6">
        <f>(1/3)*((I19*((S4^3)-(T4^3)))+(I24*((S5^3)-(T5^3)))+(I29*((S6^3)-(T6^3))))</f>
        <v>0</v>
      </c>
    </row>
    <row r="10" spans="1:20" ht="15" thickBot="1" x14ac:dyDescent="0.35">
      <c r="B10" s="7">
        <f t="shared" si="0"/>
        <v>0</v>
      </c>
      <c r="C10" s="8">
        <f t="shared" si="0"/>
        <v>0</v>
      </c>
      <c r="D10" s="9">
        <f t="shared" si="0"/>
        <v>0</v>
      </c>
      <c r="F10" s="7">
        <f>(1/3)*((I18*((S4^3)-(T4^3)))+(I23*((S5^3)-(T5^3)))+(I28*((S6^3)-(T6^3))))</f>
        <v>0</v>
      </c>
      <c r="G10" s="8">
        <f>(1/3)*((I19*((S4^3)-(T4^3)))+(I24*((S5^3)-(T5^3)))+(I29*((S6^3)-(T6^3))))</f>
        <v>0</v>
      </c>
      <c r="H10" s="9">
        <f>(1/3)*((I20*((S4^3)-(T4^3)))+(I25*((S5^3)-(T5^3)))+(I30*((S6^3)-(T6^3))))</f>
        <v>0.96041666666666647</v>
      </c>
    </row>
    <row r="16" spans="1:20" x14ac:dyDescent="0.3">
      <c r="A16" t="s">
        <v>11</v>
      </c>
    </row>
    <row r="17" spans="1:18" ht="15" thickBot="1" x14ac:dyDescent="0.35">
      <c r="A17">
        <v>1</v>
      </c>
      <c r="G17" t="s">
        <v>10</v>
      </c>
      <c r="L17" t="s">
        <v>20</v>
      </c>
      <c r="P17" t="s">
        <v>21</v>
      </c>
    </row>
    <row r="18" spans="1:18" x14ac:dyDescent="0.3">
      <c r="B18" s="1"/>
      <c r="C18" s="2"/>
      <c r="D18" s="3"/>
      <c r="G18" s="12">
        <v>166430000000</v>
      </c>
      <c r="H18" s="15">
        <v>1720000000</v>
      </c>
      <c r="I18" s="3">
        <v>0</v>
      </c>
      <c r="L18" s="1">
        <f t="array" ref="L18:N20">MINVERSE(B4:D6)</f>
        <v>4.9883321747293599E-9</v>
      </c>
      <c r="M18" s="2">
        <v>-1.5888924304901258E-9</v>
      </c>
      <c r="N18" s="3">
        <v>0</v>
      </c>
      <c r="P18" s="1" t="e">
        <f t="array" ref="P18:R20">MINVERSE(F4:H6)</f>
        <v>#NUM!</v>
      </c>
      <c r="Q18" s="2" t="e">
        <v>#NUM!</v>
      </c>
      <c r="R18" s="3" t="e">
        <v>#NUM!</v>
      </c>
    </row>
    <row r="19" spans="1:18" x14ac:dyDescent="0.3">
      <c r="B19" s="4"/>
      <c r="C19" s="5"/>
      <c r="D19" s="6"/>
      <c r="G19" s="13">
        <v>1720000000</v>
      </c>
      <c r="H19" s="20">
        <v>6810000000</v>
      </c>
      <c r="I19" s="6">
        <f>((B18-C18-(2*D20))*(SIN(R4)^3)*COS(R4))+((C18-C19+(2*D20))*SIN(R4)*(COS(R4)^3))</f>
        <v>0</v>
      </c>
      <c r="L19" s="4">
        <v>-1.5888924304901258E-9</v>
      </c>
      <c r="M19" s="5">
        <v>2.2503457157797996E-8</v>
      </c>
      <c r="N19" s="6">
        <v>0</v>
      </c>
      <c r="P19" s="4" t="e">
        <v>#NUM!</v>
      </c>
      <c r="Q19" s="5" t="e">
        <v>#NUM!</v>
      </c>
      <c r="R19" s="6" t="e">
        <v>#NUM!</v>
      </c>
    </row>
    <row r="20" spans="1:18" ht="15" thickBot="1" x14ac:dyDescent="0.35">
      <c r="B20" s="7"/>
      <c r="C20" s="8"/>
      <c r="D20" s="9"/>
      <c r="G20" s="7">
        <f>((B18-C18-(2*D20))*SIN(R4)*(COS(R4)^3))+((C18-C19+(2*D20))*(SIN(R4)^3)*COS(R4))</f>
        <v>0</v>
      </c>
      <c r="H20" s="8">
        <f>((B18-C18-(2*D20))*(SIN(R4)^3)*COS(R4))+((C18-C19+(2*D20))*SIN(R4)*(COS(R4)^3))</f>
        <v>0</v>
      </c>
      <c r="I20" s="19">
        <v>2550000000</v>
      </c>
      <c r="L20" s="7">
        <v>0</v>
      </c>
      <c r="M20" s="8">
        <v>0</v>
      </c>
      <c r="N20" s="9">
        <v>6.451612903225807E-8</v>
      </c>
      <c r="P20" s="7" t="e">
        <v>#NUM!</v>
      </c>
      <c r="Q20" s="8" t="e">
        <v>#NUM!</v>
      </c>
      <c r="R20" s="9" t="e">
        <v>#NUM!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/>
      <c r="C23" s="2"/>
      <c r="D23" s="3"/>
      <c r="G23" s="12">
        <v>77300000000</v>
      </c>
      <c r="H23" s="15">
        <v>25520000000</v>
      </c>
      <c r="I23" s="3">
        <f>((B23-C23-(2*D25))*SIN(R5)*(COS(R5)^3))+((C23-C24+(2*D25))*(SIN(R5)^3)*COS(R5))</f>
        <v>0</v>
      </c>
      <c r="L23" s="1" t="e">
        <f t="array" ref="L23:N25">MINVERSE(B8:D10)</f>
        <v>#NUM!</v>
      </c>
      <c r="M23" s="2" t="e">
        <v>#NUM!</v>
      </c>
      <c r="N23" s="3" t="e">
        <v>#NUM!</v>
      </c>
      <c r="P23" s="1">
        <f t="array" ref="P23:R25">MINVERSE(F8:H10)</f>
        <v>2.1892398831055839E-2</v>
      </c>
      <c r="Q23" s="2">
        <v>-6.045455629396769E-3</v>
      </c>
      <c r="R23" s="3">
        <v>0</v>
      </c>
    </row>
    <row r="24" spans="1:18" x14ac:dyDescent="0.3">
      <c r="B24" s="4"/>
      <c r="C24" s="5"/>
      <c r="D24" s="6"/>
      <c r="G24" s="13">
        <v>25520000000</v>
      </c>
      <c r="H24" s="20">
        <v>77300000000</v>
      </c>
      <c r="I24" s="6">
        <f>((B23-C23-(2*D25))*(SIN(R5)^3)*COS(R5))+((C23-C24+(2*D25))*SIN(R5)*(COS(R5)^3))</f>
        <v>0</v>
      </c>
      <c r="L24" s="4" t="e">
        <v>#NUM!</v>
      </c>
      <c r="M24" s="5" t="e">
        <v>#NUM!</v>
      </c>
      <c r="N24" s="6" t="e">
        <v>#NUM!</v>
      </c>
      <c r="P24" s="4">
        <v>-6.0454556293967699E-3</v>
      </c>
      <c r="Q24" s="5">
        <v>0.3790872495809437</v>
      </c>
      <c r="R24" s="6">
        <v>0</v>
      </c>
    </row>
    <row r="25" spans="1:18" ht="15" thickBot="1" x14ac:dyDescent="0.35">
      <c r="B25" s="7"/>
      <c r="C25" s="8"/>
      <c r="D25" s="9"/>
      <c r="G25" s="7">
        <f>((B23-C23-(2*D25))*SIN(R5)*(COS(R5)^3))+((C23-C24+(2*D25))*(SIN(R5)^3)*COS(R5))</f>
        <v>0</v>
      </c>
      <c r="H25" s="8">
        <f>((B23-C23-(2*D25))*(SIN(R5)^3)*COS(R5))+((C23-C24+(2*D25))*SIN(R5)*(COS(R5)^3))</f>
        <v>0</v>
      </c>
      <c r="I25" s="19">
        <v>25900000000</v>
      </c>
      <c r="L25" s="7" t="e">
        <v>#NUM!</v>
      </c>
      <c r="M25" s="8" t="e">
        <v>#NUM!</v>
      </c>
      <c r="N25" s="9" t="e">
        <v>#NUM!</v>
      </c>
      <c r="P25" s="7">
        <v>0</v>
      </c>
      <c r="Q25" s="8">
        <v>0</v>
      </c>
      <c r="R25" s="9">
        <v>1.0412147505422995</v>
      </c>
    </row>
    <row r="27" spans="1:18" ht="15" thickBot="1" x14ac:dyDescent="0.35">
      <c r="A27">
        <v>3</v>
      </c>
    </row>
    <row r="28" spans="1:18" x14ac:dyDescent="0.3">
      <c r="B28" s="1"/>
      <c r="C28" s="2"/>
      <c r="D28" s="3"/>
      <c r="G28" s="12">
        <v>166430000000</v>
      </c>
      <c r="H28" s="15">
        <v>1720000000</v>
      </c>
      <c r="I28" s="3">
        <f>((B28-C28-(2*D30))*SIN(R6)*(COS(R6)^3))+((C28-C29+(2*D30))*(SIN(R6)^3)*COS(R6))</f>
        <v>0</v>
      </c>
    </row>
    <row r="29" spans="1:18" x14ac:dyDescent="0.3">
      <c r="B29" s="4"/>
      <c r="C29" s="5"/>
      <c r="D29" s="6"/>
      <c r="G29" s="13">
        <v>1720000000</v>
      </c>
      <c r="H29" s="20">
        <v>6810000000</v>
      </c>
      <c r="I29" s="6">
        <f>((B28-C28-(2*D30))*(SIN(R6)^3)*COS(R6))+((C28-C29+(2*D30))*SIN(R6)*(COS(R6)^3))</f>
        <v>0</v>
      </c>
    </row>
    <row r="30" spans="1:18" ht="15" thickBot="1" x14ac:dyDescent="0.35">
      <c r="B30" s="7"/>
      <c r="C30" s="8"/>
      <c r="D30" s="9"/>
      <c r="G30" s="7">
        <f>((B28-C28-(2*D30))*SIN(R6)*(COS(R6)^3))+((C28-C29+(2*D30))*(SIN(R6)^3)*COS(R6))</f>
        <v>0</v>
      </c>
      <c r="H30" s="8">
        <f>((B28-C28-(2*D30))*(SIN(R6)^3)*COS(R6))+((C28-C29+(2*D30))*SIN(R6)*(COS(R6)^3))</f>
        <v>0</v>
      </c>
      <c r="I30" s="19">
        <v>2550000000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1BF1-8EA5-4694-B830-C23B2A9132B7}">
  <dimension ref="A3:T30"/>
  <sheetViews>
    <sheetView workbookViewId="0">
      <selection activeCell="I26" sqref="I26"/>
    </sheetView>
  </sheetViews>
  <sheetFormatPr defaultRowHeight="14.4" x14ac:dyDescent="0.3"/>
  <cols>
    <col min="6" max="8" width="9.21875" bestFit="1" customWidth="1"/>
  </cols>
  <sheetData>
    <row r="3" spans="1:20" ht="15" thickBot="1" x14ac:dyDescent="0.35">
      <c r="B3" t="s">
        <v>0</v>
      </c>
      <c r="F3" t="s">
        <v>1</v>
      </c>
      <c r="L3" t="s">
        <v>7</v>
      </c>
      <c r="S3" t="s">
        <v>18</v>
      </c>
      <c r="T3" t="s">
        <v>19</v>
      </c>
    </row>
    <row r="4" spans="1:20" x14ac:dyDescent="0.3">
      <c r="B4" s="12">
        <f>(G18*(S4-T4))+(G23*(S5-T5))</f>
        <v>45450000</v>
      </c>
      <c r="C4" s="15">
        <f>(H18*(S4-T4))+(H23*(S5-T5))</f>
        <v>5920000</v>
      </c>
      <c r="D4" s="3">
        <f>(I18*(S4-T4))+(I23*(S5-T5))</f>
        <v>0</v>
      </c>
      <c r="F4" s="12">
        <f>(1/2)*((G18*((S4^2)-(T4^2)))+(G23*((S5^2)-(T5^2))))</f>
        <v>-13185</v>
      </c>
      <c r="G4" s="15">
        <f>(1/2)*((H18*((S4^2)-(T4^2)))+(H23*((S5^2)-(T5^2))))</f>
        <v>0</v>
      </c>
      <c r="H4" s="3">
        <f>(1/2)*((I18*((S4^2)-(T4^2)))+(I23*((S5^2)-(T5^2))))</f>
        <v>0</v>
      </c>
      <c r="J4">
        <f>PI()</f>
        <v>3.1415926535897931</v>
      </c>
      <c r="L4">
        <v>1</v>
      </c>
      <c r="M4" s="11"/>
      <c r="N4" s="11"/>
      <c r="Q4" s="11"/>
      <c r="S4">
        <v>0</v>
      </c>
      <c r="T4">
        <v>-1E-3</v>
      </c>
    </row>
    <row r="5" spans="1:20" x14ac:dyDescent="0.3">
      <c r="B5" s="13">
        <f>(H18*(S4-T4))+(H23*(S5-T5))</f>
        <v>5920000</v>
      </c>
      <c r="C5" s="20">
        <f>(H19*(S4-T4))+(H24*(S5-T5))</f>
        <v>45450000</v>
      </c>
      <c r="D5" s="6">
        <f>(I19*(S4-T4))+(I24*(S5-T5))</f>
        <v>0</v>
      </c>
      <c r="F5" s="13">
        <f>(1/2)*((H18*((S4^2)-(T4^2)))+(H23*((S5^2)-(T5^2))))</f>
        <v>0</v>
      </c>
      <c r="G5" s="20">
        <f>(1/2)*((H19*((S4^2)-(T4^2)))+(H24*((S5^2)-(T5^2))))</f>
        <v>13185</v>
      </c>
      <c r="H5" s="6">
        <f>(1/2)*((I19*((S4^2)-(T4^2)))+(I24*((S5^2)-(T5^2))))</f>
        <v>0</v>
      </c>
      <c r="L5">
        <v>2</v>
      </c>
      <c r="M5" s="11"/>
      <c r="N5" s="11"/>
      <c r="Q5" s="11"/>
      <c r="S5">
        <v>1E-3</v>
      </c>
      <c r="T5">
        <v>0</v>
      </c>
    </row>
    <row r="6" spans="1:20" ht="15" thickBot="1" x14ac:dyDescent="0.35">
      <c r="B6" s="7">
        <f>(I18*(S4-T4))+(I23*(S5-T5))</f>
        <v>0</v>
      </c>
      <c r="C6" s="8">
        <f>(I19*(S4-T4))+(I24*(S5-T5))</f>
        <v>0</v>
      </c>
      <c r="D6" s="19">
        <f>(I20*(S4-T4))+(I25*(S5-T5))</f>
        <v>9600000</v>
      </c>
      <c r="F6" s="7">
        <f>(1/2)*((I18*((S4^2)-(T4^2)))+(I23*((S5^2)-(T5^2))))</f>
        <v>0</v>
      </c>
      <c r="G6" s="8">
        <f>(1/2)*((I19*((S4^2)-(T4^2)))+(I24*((S5^2)-(T5^2))))</f>
        <v>0</v>
      </c>
      <c r="H6" s="19">
        <f>(1/2)*((I20*((S4^2)-(T4^2)))+(I25*((S5^2)-(T5^2))))</f>
        <v>0</v>
      </c>
      <c r="M6" s="11"/>
      <c r="N6" s="11"/>
      <c r="Q6" s="11"/>
    </row>
    <row r="7" spans="1:20" ht="15" thickBot="1" x14ac:dyDescent="0.35">
      <c r="B7" t="s">
        <v>1</v>
      </c>
      <c r="F7" t="s">
        <v>2</v>
      </c>
      <c r="M7" s="11"/>
      <c r="N7" s="11"/>
      <c r="Q7" s="11"/>
    </row>
    <row r="8" spans="1:20" x14ac:dyDescent="0.3">
      <c r="B8" s="1">
        <f t="shared" ref="B8:D10" si="0">F4</f>
        <v>-13185</v>
      </c>
      <c r="C8" s="2">
        <f t="shared" si="0"/>
        <v>0</v>
      </c>
      <c r="D8" s="3">
        <f t="shared" si="0"/>
        <v>0</v>
      </c>
      <c r="F8" s="12">
        <f>(1/3)*((G18*((S4^3)-(T4^3)))+(G23*((S5^3)-(T5^3))))</f>
        <v>15.15</v>
      </c>
      <c r="G8" s="15">
        <f>(1/3)*((H18*((S4^3)-(T4^3)))+(H23*((S5^3)-(T5^3))))</f>
        <v>1.9733333333333332</v>
      </c>
      <c r="H8" s="3">
        <f>(1/3)*((I18*((S4^3)-(T4^3)))+(I23*((S5^3)-(T5^3))))</f>
        <v>0</v>
      </c>
    </row>
    <row r="9" spans="1:20" x14ac:dyDescent="0.3">
      <c r="B9" s="4">
        <f t="shared" si="0"/>
        <v>0</v>
      </c>
      <c r="C9" s="5">
        <f t="shared" si="0"/>
        <v>13185</v>
      </c>
      <c r="D9" s="6">
        <f t="shared" si="0"/>
        <v>0</v>
      </c>
      <c r="F9" s="13">
        <f>(1/3)*((H18*((S4^3)-(T4^3)))+(H23*((S5^3)-(T5^3))))</f>
        <v>1.9733333333333332</v>
      </c>
      <c r="G9" s="20">
        <f>(1/3)*((H19*((S4^3)-(T4^3)))+(H24*((S5^3)-(T5^3))))</f>
        <v>15.15</v>
      </c>
      <c r="H9" s="6">
        <f>(1/3)*((I19*((S4^3)-(T4^3)))+(I24*((S5^3)-(T5^3))))</f>
        <v>0</v>
      </c>
    </row>
    <row r="10" spans="1:20" ht="15" thickBot="1" x14ac:dyDescent="0.35">
      <c r="B10" s="7">
        <f t="shared" si="0"/>
        <v>0</v>
      </c>
      <c r="C10" s="8">
        <f t="shared" si="0"/>
        <v>0</v>
      </c>
      <c r="D10" s="9">
        <f t="shared" si="0"/>
        <v>0</v>
      </c>
      <c r="F10" s="7">
        <f>(1/3)*((I18*((S4^3)-(T4^3)))+(I23*((S5^3)-(T5^3))))</f>
        <v>0</v>
      </c>
      <c r="G10" s="8">
        <f>(1/3)*((I19*((S4^3)-(T4^3)))+(I24*((S5^3)-(T5^3))))</f>
        <v>0</v>
      </c>
      <c r="H10" s="19">
        <f>(1/3)*((I20*((S4^3)-(T4^3)))+(I25*((S5^3)-(T5^3))))</f>
        <v>3.2</v>
      </c>
    </row>
    <row r="16" spans="1:20" x14ac:dyDescent="0.3">
      <c r="A16" t="s">
        <v>11</v>
      </c>
    </row>
    <row r="17" spans="1:18" ht="15" thickBot="1" x14ac:dyDescent="0.35">
      <c r="A17">
        <v>1</v>
      </c>
      <c r="G17" t="s">
        <v>10</v>
      </c>
      <c r="L17" t="s">
        <v>20</v>
      </c>
      <c r="P17" t="s">
        <v>21</v>
      </c>
    </row>
    <row r="18" spans="1:18" x14ac:dyDescent="0.3">
      <c r="B18" s="1"/>
      <c r="C18" s="2"/>
      <c r="D18" s="3"/>
      <c r="G18" s="12">
        <v>35910000000</v>
      </c>
      <c r="H18" s="15">
        <v>2960000000</v>
      </c>
      <c r="I18" s="3">
        <v>0</v>
      </c>
      <c r="L18" s="1">
        <f t="array" ref="L18:N20">MINVERSE(B4:D6)</f>
        <v>2.2381928678125262E-8</v>
      </c>
      <c r="M18" s="2">
        <v>-2.915313922431277E-9</v>
      </c>
      <c r="N18" s="3">
        <v>0</v>
      </c>
      <c r="P18" s="1" t="e">
        <f t="array" ref="P18:R20">MINVERSE(F4:H6)</f>
        <v>#NUM!</v>
      </c>
      <c r="Q18" s="2" t="e">
        <v>#NUM!</v>
      </c>
      <c r="R18" s="3" t="e">
        <v>#NUM!</v>
      </c>
    </row>
    <row r="19" spans="1:18" x14ac:dyDescent="0.3">
      <c r="B19" s="4"/>
      <c r="C19" s="5"/>
      <c r="D19" s="6"/>
      <c r="G19" s="13">
        <v>2960000000</v>
      </c>
      <c r="H19" s="20">
        <v>9540000000</v>
      </c>
      <c r="I19" s="6">
        <v>0</v>
      </c>
      <c r="L19" s="4">
        <v>-2.915313922431277E-9</v>
      </c>
      <c r="M19" s="5">
        <v>2.2381928678125262E-8</v>
      </c>
      <c r="N19" s="6">
        <v>0</v>
      </c>
      <c r="P19" s="4" t="e">
        <v>#NUM!</v>
      </c>
      <c r="Q19" s="5" t="e">
        <v>#NUM!</v>
      </c>
      <c r="R19" s="6" t="e">
        <v>#NUM!</v>
      </c>
    </row>
    <row r="20" spans="1:18" ht="15" thickBot="1" x14ac:dyDescent="0.35">
      <c r="B20" s="7"/>
      <c r="C20" s="8"/>
      <c r="D20" s="9"/>
      <c r="G20" s="7">
        <v>0</v>
      </c>
      <c r="H20" s="8">
        <v>0</v>
      </c>
      <c r="I20" s="19">
        <v>4800000000</v>
      </c>
      <c r="L20" s="7">
        <v>0</v>
      </c>
      <c r="M20" s="8">
        <v>0</v>
      </c>
      <c r="N20" s="9">
        <v>1.0416666666666667E-7</v>
      </c>
      <c r="P20" s="7" t="e">
        <v>#NUM!</v>
      </c>
      <c r="Q20" s="8" t="e">
        <v>#NUM!</v>
      </c>
      <c r="R20" s="9" t="e">
        <v>#NUM!</v>
      </c>
    </row>
    <row r="22" spans="1:18" ht="15" thickBot="1" x14ac:dyDescent="0.35">
      <c r="A22">
        <v>2</v>
      </c>
      <c r="L22" t="s">
        <v>21</v>
      </c>
      <c r="P22" t="s">
        <v>22</v>
      </c>
    </row>
    <row r="23" spans="1:18" x14ac:dyDescent="0.3">
      <c r="B23" s="1"/>
      <c r="C23" s="2"/>
      <c r="D23" s="3"/>
      <c r="G23" s="12">
        <v>9540000000</v>
      </c>
      <c r="H23" s="15">
        <v>2960000000</v>
      </c>
      <c r="I23" s="3">
        <v>0</v>
      </c>
      <c r="L23" s="1" t="e">
        <f t="array" ref="L23:N25">MINVERSE(B8:D10)</f>
        <v>#NUM!</v>
      </c>
      <c r="M23" s="2" t="e">
        <v>#NUM!</v>
      </c>
      <c r="N23" s="3" t="e">
        <v>#NUM!</v>
      </c>
      <c r="P23" s="1">
        <f t="array" ref="P23:R25">MINVERSE(F8:H10)</f>
        <v>6.7145786034375793E-2</v>
      </c>
      <c r="Q23" s="2">
        <v>-8.7459417672938293E-3</v>
      </c>
      <c r="R23" s="3">
        <v>0</v>
      </c>
    </row>
    <row r="24" spans="1:18" x14ac:dyDescent="0.3">
      <c r="B24" s="4"/>
      <c r="C24" s="5"/>
      <c r="D24" s="6"/>
      <c r="G24" s="13">
        <v>2960000000</v>
      </c>
      <c r="H24" s="20">
        <v>35910000000</v>
      </c>
      <c r="I24" s="6">
        <v>0</v>
      </c>
      <c r="L24" s="4" t="e">
        <v>#NUM!</v>
      </c>
      <c r="M24" s="5" t="e">
        <v>#NUM!</v>
      </c>
      <c r="N24" s="6" t="e">
        <v>#NUM!</v>
      </c>
      <c r="P24" s="4">
        <v>-8.745941767293831E-3</v>
      </c>
      <c r="Q24" s="5">
        <v>6.7145786034375779E-2</v>
      </c>
      <c r="R24" s="6">
        <v>0</v>
      </c>
    </row>
    <row r="25" spans="1:18" ht="15" thickBot="1" x14ac:dyDescent="0.35">
      <c r="B25" s="7"/>
      <c r="C25" s="8"/>
      <c r="D25" s="9"/>
      <c r="G25" s="7">
        <v>0</v>
      </c>
      <c r="H25" s="8">
        <v>0</v>
      </c>
      <c r="I25" s="19">
        <v>4800000000</v>
      </c>
      <c r="L25" s="7" t="e">
        <v>#NUM!</v>
      </c>
      <c r="M25" s="8" t="e">
        <v>#NUM!</v>
      </c>
      <c r="N25" s="9" t="e">
        <v>#NUM!</v>
      </c>
      <c r="P25" s="7">
        <v>0</v>
      </c>
      <c r="Q25" s="8">
        <v>0</v>
      </c>
      <c r="R25" s="9">
        <v>0.3125</v>
      </c>
    </row>
    <row r="27" spans="1:18" ht="15" thickBot="1" x14ac:dyDescent="0.35"/>
    <row r="28" spans="1:18" x14ac:dyDescent="0.3">
      <c r="B28" s="1"/>
      <c r="C28" s="2"/>
      <c r="D28" s="3"/>
      <c r="G28" s="12"/>
      <c r="H28" s="15"/>
      <c r="I28" s="3"/>
    </row>
    <row r="29" spans="1:18" x14ac:dyDescent="0.3">
      <c r="B29" s="4"/>
      <c r="C29" s="5"/>
      <c r="D29" s="6"/>
      <c r="G29" s="13"/>
      <c r="H29" s="20"/>
      <c r="I29" s="6"/>
    </row>
    <row r="30" spans="1:18" ht="15" thickBot="1" x14ac:dyDescent="0.35">
      <c r="B30" s="7"/>
      <c r="C30" s="8"/>
      <c r="D30" s="9"/>
      <c r="G30" s="7"/>
      <c r="H30" s="8"/>
      <c r="I30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FB6F-392F-4A63-B4B6-CF2794CF9DD9}">
  <dimension ref="A3:S25"/>
  <sheetViews>
    <sheetView workbookViewId="0">
      <selection activeCell="N11" sqref="N11"/>
    </sheetView>
  </sheetViews>
  <sheetFormatPr defaultRowHeight="14.4" x14ac:dyDescent="0.3"/>
  <sheetData>
    <row r="3" spans="2:19" ht="15" thickBot="1" x14ac:dyDescent="0.35">
      <c r="P3" t="s">
        <v>13</v>
      </c>
      <c r="R3" t="s">
        <v>14</v>
      </c>
      <c r="S3" t="s">
        <v>12</v>
      </c>
    </row>
    <row r="4" spans="2:19" x14ac:dyDescent="0.3">
      <c r="B4" s="1"/>
      <c r="C4" s="2"/>
      <c r="D4" s="3"/>
      <c r="F4" s="1"/>
      <c r="G4" s="2"/>
      <c r="H4" s="3"/>
      <c r="P4" s="30">
        <v>0</v>
      </c>
      <c r="Q4">
        <v>1</v>
      </c>
      <c r="R4">
        <f>(P4*3.14)/180</f>
        <v>0</v>
      </c>
      <c r="S4">
        <v>5</v>
      </c>
    </row>
    <row r="5" spans="2:19" ht="15" thickBot="1" x14ac:dyDescent="0.35">
      <c r="B5" s="4"/>
      <c r="C5" s="5"/>
      <c r="D5" s="6"/>
      <c r="F5" s="4"/>
      <c r="G5" s="5"/>
      <c r="H5" s="6"/>
      <c r="P5" s="31">
        <v>90</v>
      </c>
      <c r="Q5">
        <v>2</v>
      </c>
      <c r="R5">
        <f>(P5*3.14)/180</f>
        <v>1.57</v>
      </c>
      <c r="S5">
        <v>3</v>
      </c>
    </row>
    <row r="6" spans="2:19" ht="15" thickBot="1" x14ac:dyDescent="0.35">
      <c r="B6" s="7"/>
      <c r="C6" s="8"/>
      <c r="D6" s="9"/>
      <c r="F6" s="7"/>
      <c r="G6" s="8"/>
      <c r="H6" s="9"/>
    </row>
    <row r="7" spans="2:19" ht="15" thickBot="1" x14ac:dyDescent="0.35"/>
    <row r="8" spans="2:19" x14ac:dyDescent="0.3">
      <c r="B8" s="1"/>
      <c r="C8" s="2"/>
      <c r="D8" s="3"/>
      <c r="F8" s="1"/>
      <c r="G8" s="2"/>
      <c r="H8" s="3"/>
    </row>
    <row r="9" spans="2:19" x14ac:dyDescent="0.3">
      <c r="B9" s="4"/>
      <c r="C9" s="5"/>
      <c r="D9" s="6"/>
      <c r="F9" s="4"/>
      <c r="G9" s="5"/>
      <c r="H9" s="6"/>
    </row>
    <row r="10" spans="2:19" ht="15" thickBot="1" x14ac:dyDescent="0.35">
      <c r="B10" s="7"/>
      <c r="C10" s="8"/>
      <c r="D10" s="9"/>
      <c r="F10" s="7"/>
      <c r="G10" s="8"/>
      <c r="H10" s="9"/>
    </row>
    <row r="17" spans="1:9" ht="15" thickBot="1" x14ac:dyDescent="0.35">
      <c r="B17" t="s">
        <v>9</v>
      </c>
      <c r="G17" t="s">
        <v>10</v>
      </c>
    </row>
    <row r="18" spans="1:9" x14ac:dyDescent="0.3">
      <c r="A18">
        <v>1</v>
      </c>
      <c r="B18" s="1">
        <v>20</v>
      </c>
      <c r="C18" s="2">
        <v>0.7</v>
      </c>
      <c r="D18" s="3">
        <v>0</v>
      </c>
      <c r="G18" s="1">
        <f>(B18*COS(R4)^4)+(2*(C18+(2*D20))*(SIN(R4)^2)*(COS(R4)^2))+(C19*SIN(R4)^4)</f>
        <v>20</v>
      </c>
      <c r="H18" s="2">
        <f>((B18+C19-(4*D20))*(SIN(R4)^2)*(COS(R4)^2))+(C18*((SIN(R4)^4)+(COS(R4)^4)))</f>
        <v>0.7</v>
      </c>
      <c r="I18" s="3">
        <f>((B18-C18-(2*D20))*SIN(R4)*(COS(R4)^3))+((C18-C19+(2*D20))*(SIN(R4)^3)*COS(R4))</f>
        <v>0</v>
      </c>
    </row>
    <row r="19" spans="1:9" x14ac:dyDescent="0.3">
      <c r="B19" s="4">
        <v>0.7</v>
      </c>
      <c r="C19" s="5">
        <v>2</v>
      </c>
      <c r="D19" s="6">
        <v>0</v>
      </c>
      <c r="G19" s="4">
        <f>((B18+C19-(4*D20))*(SIN(R4)^2)*(COS(R4)^2))+(C18*((SIN(R4)^4)+(COS(R4)^4)))</f>
        <v>0.7</v>
      </c>
      <c r="H19" s="5">
        <f>(B18*SIN(R4)^4)+(2*(C18+(2*(D20)))*(SIN(R4)^2)*(COS(R4)^2))+(C19*(COS(R4)^4))</f>
        <v>2</v>
      </c>
      <c r="I19" s="6">
        <f>((B18-C18-(2*D20))*(SIN(R4)^3)*COS(R4))+((C18-C19+(2*D20))*SIN(R4)*(COS(R4)^3))</f>
        <v>0</v>
      </c>
    </row>
    <row r="20" spans="1:9" ht="15" thickBot="1" x14ac:dyDescent="0.35">
      <c r="B20" s="7">
        <v>0</v>
      </c>
      <c r="C20" s="8">
        <v>0</v>
      </c>
      <c r="D20" s="9">
        <v>0.7</v>
      </c>
      <c r="G20" s="7">
        <f>((B18-C18-(2*D20))*SIN(R4)*(COS(R4)^3))+((C18-C19+(2*D20))*(SIN(R4)^3)*COS(R4))</f>
        <v>0</v>
      </c>
      <c r="H20" s="8">
        <f>((B18-C18-(2*D20))*(SIN(R4)^3)*COS(R4))+((C18-C19+(2*D20))*SIN(R4)*(COS(R4)^3))</f>
        <v>0</v>
      </c>
      <c r="I20" s="9">
        <f>((B18+C19-(2*C18)-(2*D20))*(SIN(R4)^2)*(COS(R4)^2))+(D20*((SIN(R4)^4)+(COS(R4)^4)))</f>
        <v>0.7</v>
      </c>
    </row>
    <row r="22" spans="1:9" ht="15" thickBot="1" x14ac:dyDescent="0.35"/>
    <row r="23" spans="1:9" x14ac:dyDescent="0.3">
      <c r="A23">
        <v>2</v>
      </c>
      <c r="B23" s="1">
        <v>35.909999999999997</v>
      </c>
      <c r="C23" s="2">
        <v>2.96</v>
      </c>
      <c r="D23" s="3">
        <v>0</v>
      </c>
      <c r="G23" s="21">
        <f>(B23*COS(R5)^4)+(2*(C23+(2*D25))*(SIN(R5)^2)*(COS(R5)^2))+(C24*SIN(R5)^4)</f>
        <v>9.5400038301910062</v>
      </c>
      <c r="H23" s="22">
        <f>((B23+C24-(4*D25))*(SIN(R5)^2)*(COS(R5)^2))+(C23*((SIN(R5)^4)+(COS(R5)^4)))</f>
        <v>2.9600128919813855</v>
      </c>
      <c r="I23" s="23">
        <f>((B23-C23-(2*D25))*SIN(R5)*(COS(R5)^3))+((C23-C24+(2*D25))*(SIN(R5)^3)*COS(R5))</f>
        <v>2.4049161701274972E-3</v>
      </c>
    </row>
    <row r="24" spans="1:9" x14ac:dyDescent="0.3">
      <c r="B24" s="4">
        <v>2.96</v>
      </c>
      <c r="C24" s="10">
        <v>9.5399999999999991</v>
      </c>
      <c r="D24" s="6">
        <v>0</v>
      </c>
      <c r="G24" s="24">
        <f>((B23+C24-(4*D25))*(SIN(R5)^2)*(COS(R5)^2))+(C23*((SIN(R5)^4)+(COS(R5)^4)))</f>
        <v>2.9600128919813855</v>
      </c>
      <c r="H24" s="25">
        <f>(B23*SIN(R5)^4)+(2*(C23+(2*(D25)))*(SIN(R5)^2)*(COS(R5)^2))+(C24*(COS(R5)^4))</f>
        <v>35.909970385846222</v>
      </c>
      <c r="I24" s="26">
        <f>((B23-C23-(2*D25))*(SIN(R5)^3)*COS(R5))+((C23-C24+(2*D25))*SIN(R5)*(COS(R5)^3))</f>
        <v>1.859421253375133E-2</v>
      </c>
    </row>
    <row r="25" spans="1:9" ht="15" thickBot="1" x14ac:dyDescent="0.35">
      <c r="B25" s="7">
        <v>0</v>
      </c>
      <c r="C25" s="8">
        <v>0</v>
      </c>
      <c r="D25" s="9">
        <v>4.8</v>
      </c>
      <c r="G25" s="27">
        <f>((B23-C23-(2*D25))*SIN(R5)*(COS(R5)^3))+((C23-C24+(2*D25))*(SIN(R5)^3)*COS(R5))</f>
        <v>2.4049161701274972E-3</v>
      </c>
      <c r="H25" s="28">
        <f>((B23-C23-(2*D25))*(SIN(R5)^3)*COS(R5))+((C23-C24+(2*D25))*SIN(R5)*(COS(R5)^3))</f>
        <v>1.859421253375133E-2</v>
      </c>
      <c r="I25" s="29">
        <f>((B23+C24-(2*C23)-(2*D25))*(SIN(R5)^2)*(COS(R5)^2))+(D25*((SIN(R5)^4)+(COS(R5)^4)))</f>
        <v>4.8000128919813854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Original</vt:lpstr>
      <vt:lpstr>2 layer</vt:lpstr>
      <vt:lpstr>3 Layer</vt:lpstr>
      <vt:lpstr>4 layer</vt:lpstr>
      <vt:lpstr>5 layer</vt:lpstr>
      <vt:lpstr>Q-Qb-ABD</vt:lpstr>
      <vt:lpstr>Qb-ABD (stiffner)</vt:lpstr>
      <vt:lpstr>Qb(x3) -&gt; ABD</vt:lpstr>
      <vt:lpstr>Qb(x2)-&gt;ABD</vt:lpstr>
      <vt:lpstr>Q-Qb(for degree change)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frimas</dc:creator>
  <cp:lastModifiedBy>nicholas frimas</cp:lastModifiedBy>
  <dcterms:created xsi:type="dcterms:W3CDTF">2021-09-24T23:39:54Z</dcterms:created>
  <dcterms:modified xsi:type="dcterms:W3CDTF">2021-12-13T21:02:36Z</dcterms:modified>
</cp:coreProperties>
</file>